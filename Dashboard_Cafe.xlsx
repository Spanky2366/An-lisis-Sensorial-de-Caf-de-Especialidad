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avis\OneDrive\Escritorio\dataset-cafe\"/>
    </mc:Choice>
  </mc:AlternateContent>
  <xr:revisionPtr revIDLastSave="0" documentId="13_ncr:1_{1C2A04BB-5A6F-408C-B6A5-DEE71330AA19}" xr6:coauthVersionLast="47" xr6:coauthVersionMax="47" xr10:uidLastSave="{00000000-0000-0000-0000-000000000000}"/>
  <bookViews>
    <workbookView xWindow="-120" yWindow="-120" windowWidth="29040" windowHeight="15720" xr2:uid="{FEB08292-FE3F-4FCA-8640-A7333BCEEF32}"/>
  </bookViews>
  <sheets>
    <sheet name="df_arabica_clean" sheetId="2" r:id="rId1"/>
    <sheet name="Tablas_Dinamicas " sheetId="5" r:id="rId2"/>
    <sheet name="Info" sheetId="7" r:id="rId3"/>
  </sheets>
  <definedNames>
    <definedName name="DatosExternos_1" localSheetId="0" hidden="1">df_arabica_clean!$A$1:$AO$208</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3" i="2" l="1"/>
  <c r="D22" i="7"/>
  <c r="D21" i="7"/>
  <c r="D20" i="7"/>
  <c r="A27" i="7"/>
  <c r="D26" i="7"/>
  <c r="C26" i="7"/>
  <c r="B26" i="7"/>
  <c r="A26" i="7"/>
  <c r="A19" i="7"/>
  <c r="B19" i="7"/>
  <c r="C19" i="7"/>
  <c r="D19" i="7"/>
  <c r="A21" i="7"/>
  <c r="C21" i="7" s="1"/>
  <c r="A22" i="7"/>
  <c r="A20" i="7"/>
  <c r="C20" i="7" s="1"/>
  <c r="B6" i="7"/>
  <c r="B7" i="7"/>
  <c r="B8" i="7"/>
  <c r="B9" i="7"/>
  <c r="B10" i="7"/>
  <c r="B11" i="7"/>
  <c r="B12" i="7"/>
  <c r="B13" i="7"/>
  <c r="B14" i="7"/>
  <c r="B15" i="7"/>
  <c r="D7" i="7"/>
  <c r="D8" i="7"/>
  <c r="D9" i="7"/>
  <c r="D10" i="7"/>
  <c r="D11" i="7"/>
  <c r="D12" i="7"/>
  <c r="D13" i="7"/>
  <c r="D14" i="7"/>
  <c r="D15" i="7"/>
  <c r="D6" i="7"/>
  <c r="C7" i="7"/>
  <c r="C8" i="7"/>
  <c r="C9" i="7"/>
  <c r="C10" i="7"/>
  <c r="C11" i="7"/>
  <c r="C12" i="7"/>
  <c r="C13" i="7"/>
  <c r="C14" i="7"/>
  <c r="C15" i="7"/>
  <c r="C6" i="7"/>
  <c r="J3" i="2"/>
  <c r="I36" i="2"/>
  <c r="I116" i="2"/>
  <c r="I130" i="2"/>
  <c r="I102" i="2"/>
  <c r="I87" i="2"/>
  <c r="I124" i="2"/>
  <c r="I157" i="2"/>
  <c r="I112" i="2"/>
  <c r="I131" i="2"/>
  <c r="I113" i="2"/>
  <c r="I73" i="2"/>
  <c r="I26" i="2"/>
  <c r="I162" i="2"/>
  <c r="I117" i="2"/>
  <c r="I17" i="2"/>
  <c r="I123" i="2"/>
  <c r="I149" i="2"/>
  <c r="I15" i="2"/>
  <c r="I107" i="2"/>
  <c r="I134" i="2"/>
  <c r="I55" i="2"/>
  <c r="I160" i="2"/>
  <c r="I166" i="2"/>
  <c r="I57" i="2"/>
  <c r="I92" i="2"/>
  <c r="I118" i="2"/>
  <c r="I31" i="2"/>
  <c r="I98" i="2"/>
  <c r="I145" i="2"/>
  <c r="I154" i="2"/>
  <c r="I177" i="2"/>
  <c r="I202" i="2"/>
  <c r="I203" i="2"/>
  <c r="I173" i="2"/>
  <c r="I11" i="2"/>
  <c r="I7" i="2"/>
  <c r="I33" i="2"/>
  <c r="I132" i="2"/>
  <c r="I174" i="2"/>
  <c r="I45" i="2"/>
  <c r="I163" i="2"/>
  <c r="I192" i="2"/>
  <c r="I158" i="2"/>
  <c r="I170" i="2"/>
  <c r="I13" i="2"/>
  <c r="I204" i="2"/>
  <c r="I168" i="2"/>
  <c r="I156" i="2"/>
  <c r="I164" i="2"/>
  <c r="I147" i="2"/>
  <c r="I187" i="2"/>
  <c r="I196" i="2"/>
  <c r="I119" i="2"/>
  <c r="I47" i="2"/>
  <c r="I38" i="2"/>
  <c r="I99" i="2"/>
  <c r="I79" i="2"/>
  <c r="I27" i="2"/>
  <c r="I76" i="2"/>
  <c r="I146" i="2"/>
  <c r="I148" i="2"/>
  <c r="I3" i="2"/>
  <c r="I85" i="2"/>
  <c r="I197" i="2"/>
  <c r="I172" i="2"/>
  <c r="I42" i="2"/>
  <c r="I114" i="2"/>
  <c r="I64" i="2"/>
  <c r="I175" i="2"/>
  <c r="I86" i="2"/>
  <c r="I180" i="2"/>
  <c r="I54" i="2"/>
  <c r="I12" i="2"/>
  <c r="I186" i="2"/>
  <c r="I165" i="2"/>
  <c r="I129" i="2"/>
  <c r="I101" i="2"/>
  <c r="I6" i="2"/>
  <c r="I19" i="2"/>
  <c r="I125" i="2"/>
  <c r="I115" i="2"/>
  <c r="I152" i="2"/>
  <c r="I59" i="2"/>
  <c r="I53" i="2"/>
  <c r="I144" i="2"/>
  <c r="I205" i="2"/>
  <c r="I169" i="2"/>
  <c r="I138" i="2"/>
  <c r="I137" i="2"/>
  <c r="I71" i="2"/>
  <c r="I41" i="2"/>
  <c r="I28" i="2"/>
  <c r="I74" i="2"/>
  <c r="I95" i="2"/>
  <c r="I84" i="2"/>
  <c r="I159" i="2"/>
  <c r="I151" i="2"/>
  <c r="I103" i="2"/>
  <c r="I97" i="2"/>
  <c r="I136" i="2"/>
  <c r="I208" i="2"/>
  <c r="I10" i="2"/>
  <c r="I121" i="2"/>
  <c r="I185" i="2"/>
  <c r="I122" i="2"/>
  <c r="I49" i="2"/>
  <c r="I88" i="2"/>
  <c r="I111" i="2"/>
  <c r="I80" i="2"/>
  <c r="I198" i="2"/>
  <c r="I68" i="2"/>
  <c r="I193" i="2"/>
  <c r="I194" i="2"/>
  <c r="I142" i="2"/>
  <c r="I63" i="2"/>
  <c r="I110" i="2"/>
  <c r="I140" i="2"/>
  <c r="I34" i="2"/>
  <c r="I67" i="2"/>
  <c r="I78" i="2"/>
  <c r="I150" i="2"/>
  <c r="I14" i="2"/>
  <c r="I199" i="2"/>
  <c r="I127" i="2"/>
  <c r="I190" i="2"/>
  <c r="I89" i="2"/>
  <c r="I83" i="2"/>
  <c r="I171" i="2"/>
  <c r="I104" i="2"/>
  <c r="I75" i="2"/>
  <c r="I23" i="2"/>
  <c r="I153" i="2"/>
  <c r="I94" i="2"/>
  <c r="I69" i="2"/>
  <c r="I62" i="2"/>
  <c r="I200" i="2"/>
  <c r="I188" i="2"/>
  <c r="I139" i="2"/>
  <c r="I61" i="2"/>
  <c r="I65" i="2"/>
  <c r="I109" i="2"/>
  <c r="I195" i="2"/>
  <c r="I51" i="2"/>
  <c r="I91" i="2"/>
  <c r="I143" i="2"/>
  <c r="I52" i="2"/>
  <c r="I105" i="2"/>
  <c r="I161" i="2"/>
  <c r="I39" i="2"/>
  <c r="I81" i="2"/>
  <c r="I120" i="2"/>
  <c r="I141" i="2"/>
  <c r="I128" i="2"/>
  <c r="I66" i="2"/>
  <c r="I201" i="2"/>
  <c r="I182" i="2"/>
  <c r="I40" i="2"/>
  <c r="I9" i="2"/>
  <c r="I72" i="2"/>
  <c r="I25" i="2"/>
  <c r="I176" i="2"/>
  <c r="I50" i="2"/>
  <c r="I58" i="2"/>
  <c r="I207" i="2"/>
  <c r="I155" i="2"/>
  <c r="I8" i="2"/>
  <c r="I5" i="2"/>
  <c r="I206" i="2"/>
  <c r="I46" i="2"/>
  <c r="I135" i="2"/>
  <c r="I60" i="2"/>
  <c r="I56" i="2"/>
  <c r="I179" i="2"/>
  <c r="I183" i="2"/>
  <c r="I181" i="2"/>
  <c r="I167" i="2"/>
  <c r="I82" i="2"/>
  <c r="I133" i="2"/>
  <c r="I93" i="2"/>
  <c r="I44" i="2"/>
  <c r="I126" i="2"/>
  <c r="I191" i="2"/>
  <c r="I2" i="2"/>
  <c r="I24" i="2"/>
  <c r="I21" i="2"/>
  <c r="I100" i="2"/>
  <c r="I48" i="2"/>
  <c r="I77" i="2"/>
  <c r="I189" i="2"/>
  <c r="I184" i="2"/>
  <c r="I106" i="2"/>
  <c r="I70" i="2"/>
  <c r="I178" i="2"/>
  <c r="I90" i="2"/>
  <c r="I30" i="2"/>
  <c r="I18" i="2"/>
  <c r="I35" i="2"/>
  <c r="I32" i="2"/>
  <c r="I108" i="2"/>
  <c r="I43" i="2"/>
  <c r="I16" i="2"/>
  <c r="I29" i="2"/>
  <c r="I22" i="2"/>
  <c r="I37" i="2"/>
  <c r="I96" i="2"/>
  <c r="I4" i="2"/>
  <c r="I20" i="2"/>
  <c r="J116" i="2"/>
  <c r="J130" i="2"/>
  <c r="J102" i="2"/>
  <c r="J87" i="2"/>
  <c r="J124" i="2"/>
  <c r="J157" i="2"/>
  <c r="J112" i="2"/>
  <c r="J131" i="2"/>
  <c r="J113" i="2"/>
  <c r="J73" i="2"/>
  <c r="J26" i="2"/>
  <c r="J162" i="2"/>
  <c r="J117" i="2"/>
  <c r="J17" i="2"/>
  <c r="J123" i="2"/>
  <c r="J149" i="2"/>
  <c r="J15" i="2"/>
  <c r="J107" i="2"/>
  <c r="J134" i="2"/>
  <c r="J55" i="2"/>
  <c r="J160" i="2"/>
  <c r="J166" i="2"/>
  <c r="J57" i="2"/>
  <c r="J92" i="2"/>
  <c r="J118" i="2"/>
  <c r="J31" i="2"/>
  <c r="J98" i="2"/>
  <c r="J145" i="2"/>
  <c r="J154" i="2"/>
  <c r="J177" i="2"/>
  <c r="J202" i="2"/>
  <c r="J203" i="2"/>
  <c r="J173" i="2"/>
  <c r="J11" i="2"/>
  <c r="J7" i="2"/>
  <c r="J33" i="2"/>
  <c r="J132" i="2"/>
  <c r="J174" i="2"/>
  <c r="J45" i="2"/>
  <c r="J163" i="2"/>
  <c r="J192" i="2"/>
  <c r="J158" i="2"/>
  <c r="J170" i="2"/>
  <c r="J13" i="2"/>
  <c r="J204" i="2"/>
  <c r="J168" i="2"/>
  <c r="J156" i="2"/>
  <c r="J164" i="2"/>
  <c r="J147" i="2"/>
  <c r="J187" i="2"/>
  <c r="J196" i="2"/>
  <c r="J119" i="2"/>
  <c r="J47" i="2"/>
  <c r="J38" i="2"/>
  <c r="J99" i="2"/>
  <c r="J79" i="2"/>
  <c r="J27" i="2"/>
  <c r="J76" i="2"/>
  <c r="J146" i="2"/>
  <c r="J148" i="2"/>
  <c r="J85" i="2"/>
  <c r="J197" i="2"/>
  <c r="J172" i="2"/>
  <c r="J42" i="2"/>
  <c r="J114" i="2"/>
  <c r="J64" i="2"/>
  <c r="J175" i="2"/>
  <c r="J86" i="2"/>
  <c r="J180" i="2"/>
  <c r="J54" i="2"/>
  <c r="J12" i="2"/>
  <c r="J186" i="2"/>
  <c r="J165" i="2"/>
  <c r="J129" i="2"/>
  <c r="J101" i="2"/>
  <c r="J6" i="2"/>
  <c r="J19" i="2"/>
  <c r="J125" i="2"/>
  <c r="J115" i="2"/>
  <c r="J152" i="2"/>
  <c r="J59" i="2"/>
  <c r="J53" i="2"/>
  <c r="J144" i="2"/>
  <c r="J205" i="2"/>
  <c r="J169" i="2"/>
  <c r="J138" i="2"/>
  <c r="J137" i="2"/>
  <c r="J71" i="2"/>
  <c r="J41" i="2"/>
  <c r="J28" i="2"/>
  <c r="J74" i="2"/>
  <c r="J95" i="2"/>
  <c r="J84" i="2"/>
  <c r="J159" i="2"/>
  <c r="J151" i="2"/>
  <c r="J103" i="2"/>
  <c r="J97" i="2"/>
  <c r="J136" i="2"/>
  <c r="J208" i="2"/>
  <c r="J10" i="2"/>
  <c r="J121" i="2"/>
  <c r="J185" i="2"/>
  <c r="J122" i="2"/>
  <c r="J49" i="2"/>
  <c r="J88" i="2"/>
  <c r="J111" i="2"/>
  <c r="J80" i="2"/>
  <c r="J198" i="2"/>
  <c r="J68" i="2"/>
  <c r="J193" i="2"/>
  <c r="J194" i="2"/>
  <c r="J142" i="2"/>
  <c r="J63" i="2"/>
  <c r="J110" i="2"/>
  <c r="J140" i="2"/>
  <c r="J34" i="2"/>
  <c r="J67" i="2"/>
  <c r="J78" i="2"/>
  <c r="J150" i="2"/>
  <c r="J14" i="2"/>
  <c r="J199" i="2"/>
  <c r="J127" i="2"/>
  <c r="J190" i="2"/>
  <c r="J89" i="2"/>
  <c r="J83" i="2"/>
  <c r="J171" i="2"/>
  <c r="J104" i="2"/>
  <c r="J75" i="2"/>
  <c r="J23" i="2"/>
  <c r="J153" i="2"/>
  <c r="J94" i="2"/>
  <c r="J69" i="2"/>
  <c r="J62" i="2"/>
  <c r="J200" i="2"/>
  <c r="J188" i="2"/>
  <c r="J139" i="2"/>
  <c r="J61" i="2"/>
  <c r="J65" i="2"/>
  <c r="J109" i="2"/>
  <c r="J195" i="2"/>
  <c r="J51" i="2"/>
  <c r="J91" i="2"/>
  <c r="J143" i="2"/>
  <c r="J52" i="2"/>
  <c r="J105" i="2"/>
  <c r="J161" i="2"/>
  <c r="J39" i="2"/>
  <c r="J81" i="2"/>
  <c r="J120" i="2"/>
  <c r="J141" i="2"/>
  <c r="J128" i="2"/>
  <c r="J66" i="2"/>
  <c r="J201" i="2"/>
  <c r="J182" i="2"/>
  <c r="J40" i="2"/>
  <c r="J9" i="2"/>
  <c r="J72" i="2"/>
  <c r="J25" i="2"/>
  <c r="J176" i="2"/>
  <c r="J50" i="2"/>
  <c r="J58" i="2"/>
  <c r="J207" i="2"/>
  <c r="J36" i="2"/>
  <c r="J155" i="2"/>
  <c r="J8" i="2"/>
  <c r="J5" i="2"/>
  <c r="J206" i="2"/>
  <c r="J46" i="2"/>
  <c r="J135" i="2"/>
  <c r="J60" i="2"/>
  <c r="J56" i="2"/>
  <c r="J179" i="2"/>
  <c r="J183" i="2"/>
  <c r="J181" i="2"/>
  <c r="J167" i="2"/>
  <c r="J82" i="2"/>
  <c r="J133" i="2"/>
  <c r="J93" i="2"/>
  <c r="J44" i="2"/>
  <c r="J126" i="2"/>
  <c r="J191" i="2"/>
  <c r="J2" i="2"/>
  <c r="J24" i="2"/>
  <c r="J21" i="2"/>
  <c r="J100" i="2"/>
  <c r="J48" i="2"/>
  <c r="J77" i="2"/>
  <c r="J189" i="2"/>
  <c r="J184" i="2"/>
  <c r="J106" i="2"/>
  <c r="J70" i="2"/>
  <c r="J178" i="2"/>
  <c r="J90" i="2"/>
  <c r="J30" i="2"/>
  <c r="J18" i="2"/>
  <c r="J35" i="2"/>
  <c r="J32" i="2"/>
  <c r="J108" i="2"/>
  <c r="J43" i="2"/>
  <c r="J16" i="2"/>
  <c r="J29" i="2"/>
  <c r="J22" i="2"/>
  <c r="J37" i="2"/>
  <c r="J96" i="2"/>
  <c r="J4" i="2"/>
  <c r="J20" i="2"/>
  <c r="AP116" i="2"/>
  <c r="AP130" i="2"/>
  <c r="AP102" i="2"/>
  <c r="AP87" i="2"/>
  <c r="AP124" i="2"/>
  <c r="AP157" i="2"/>
  <c r="AP112" i="2"/>
  <c r="AP131" i="2"/>
  <c r="AP113" i="2"/>
  <c r="AP73" i="2"/>
  <c r="AP26" i="2"/>
  <c r="AP162" i="2"/>
  <c r="AP117" i="2"/>
  <c r="AP17" i="2"/>
  <c r="AP123" i="2"/>
  <c r="AP149" i="2"/>
  <c r="AP15" i="2"/>
  <c r="AP107" i="2"/>
  <c r="AP134" i="2"/>
  <c r="AP55" i="2"/>
  <c r="AP160" i="2"/>
  <c r="AP166" i="2"/>
  <c r="AP57" i="2"/>
  <c r="AP92" i="2"/>
  <c r="AP118" i="2"/>
  <c r="AP31" i="2"/>
  <c r="AP98" i="2"/>
  <c r="AP145" i="2"/>
  <c r="AP154" i="2"/>
  <c r="AP177" i="2"/>
  <c r="AP202" i="2"/>
  <c r="AP203" i="2"/>
  <c r="AP173" i="2"/>
  <c r="AP11" i="2"/>
  <c r="AP7" i="2"/>
  <c r="AP33" i="2"/>
  <c r="AP132" i="2"/>
  <c r="AP174" i="2"/>
  <c r="AP45" i="2"/>
  <c r="AP163" i="2"/>
  <c r="AP192" i="2"/>
  <c r="AP158" i="2"/>
  <c r="AP170" i="2"/>
  <c r="AP13" i="2"/>
  <c r="AP204" i="2"/>
  <c r="AP168" i="2"/>
  <c r="AP156" i="2"/>
  <c r="AP164" i="2"/>
  <c r="AP147" i="2"/>
  <c r="AP187" i="2"/>
  <c r="AP196" i="2"/>
  <c r="AP119" i="2"/>
  <c r="AP47" i="2"/>
  <c r="AP38" i="2"/>
  <c r="AP99" i="2"/>
  <c r="AP79" i="2"/>
  <c r="AP27" i="2"/>
  <c r="AP76" i="2"/>
  <c r="AP146" i="2"/>
  <c r="AP148" i="2"/>
  <c r="AP3" i="2"/>
  <c r="AP85" i="2"/>
  <c r="AP197" i="2"/>
  <c r="AP172" i="2"/>
  <c r="AP42" i="2"/>
  <c r="AP114" i="2"/>
  <c r="AP64" i="2"/>
  <c r="AP175" i="2"/>
  <c r="AP86" i="2"/>
  <c r="AP180" i="2"/>
  <c r="AP54" i="2"/>
  <c r="AP12" i="2"/>
  <c r="AP186" i="2"/>
  <c r="AP165" i="2"/>
  <c r="AP129" i="2"/>
  <c r="AP101" i="2"/>
  <c r="AP6" i="2"/>
  <c r="AP19" i="2"/>
  <c r="AP125" i="2"/>
  <c r="AP115" i="2"/>
  <c r="AP152" i="2"/>
  <c r="AP59" i="2"/>
  <c r="AP53" i="2"/>
  <c r="AP144" i="2"/>
  <c r="AP205" i="2"/>
  <c r="AP169" i="2"/>
  <c r="AP138" i="2"/>
  <c r="AP137" i="2"/>
  <c r="AP71" i="2"/>
  <c r="AP41" i="2"/>
  <c r="AP28" i="2"/>
  <c r="AP74" i="2"/>
  <c r="AP95" i="2"/>
  <c r="AP84" i="2"/>
  <c r="AP159" i="2"/>
  <c r="AP151" i="2"/>
  <c r="AP103" i="2"/>
  <c r="AP97" i="2"/>
  <c r="AP136" i="2"/>
  <c r="AP208" i="2"/>
  <c r="AP10" i="2"/>
  <c r="AP121" i="2"/>
  <c r="AP185" i="2"/>
  <c r="AP122" i="2"/>
  <c r="AP49" i="2"/>
  <c r="AP88" i="2"/>
  <c r="AP111" i="2"/>
  <c r="AP80" i="2"/>
  <c r="AP198" i="2"/>
  <c r="AP68" i="2"/>
  <c r="AP193" i="2"/>
  <c r="AP194" i="2"/>
  <c r="AP142" i="2"/>
  <c r="AP63" i="2"/>
  <c r="AP110" i="2"/>
  <c r="AP140" i="2"/>
  <c r="AP34" i="2"/>
  <c r="AP67" i="2"/>
  <c r="AP78" i="2"/>
  <c r="AP150" i="2"/>
  <c r="AP14" i="2"/>
  <c r="AP199" i="2"/>
  <c r="AP127" i="2"/>
  <c r="AP190" i="2"/>
  <c r="AP89" i="2"/>
  <c r="AP83" i="2"/>
  <c r="AP171" i="2"/>
  <c r="AP104" i="2"/>
  <c r="AP75" i="2"/>
  <c r="AP23" i="2"/>
  <c r="AP153" i="2"/>
  <c r="AP94" i="2"/>
  <c r="AP69" i="2"/>
  <c r="AP62" i="2"/>
  <c r="AP200" i="2"/>
  <c r="AP188" i="2"/>
  <c r="AP139" i="2"/>
  <c r="AP61" i="2"/>
  <c r="AP65" i="2"/>
  <c r="AP109" i="2"/>
  <c r="AP195" i="2"/>
  <c r="AP51" i="2"/>
  <c r="AP91" i="2"/>
  <c r="AP143" i="2"/>
  <c r="AP52" i="2"/>
  <c r="AP105" i="2"/>
  <c r="AP161" i="2"/>
  <c r="AP39" i="2"/>
  <c r="AP81" i="2"/>
  <c r="AP120" i="2"/>
  <c r="AP141" i="2"/>
  <c r="AP128" i="2"/>
  <c r="AP66" i="2"/>
  <c r="AP201" i="2"/>
  <c r="AP182" i="2"/>
  <c r="AP40" i="2"/>
  <c r="AP9" i="2"/>
  <c r="AP72" i="2"/>
  <c r="AP25" i="2"/>
  <c r="AP176" i="2"/>
  <c r="AP50" i="2"/>
  <c r="AP58" i="2"/>
  <c r="AP207" i="2"/>
  <c r="AP36" i="2"/>
  <c r="AP155" i="2"/>
  <c r="AP8" i="2"/>
  <c r="AP5" i="2"/>
  <c r="AP206" i="2"/>
  <c r="AP46" i="2"/>
  <c r="AP135" i="2"/>
  <c r="AP60" i="2"/>
  <c r="AP56" i="2"/>
  <c r="AP179" i="2"/>
  <c r="AP183" i="2"/>
  <c r="AP181" i="2"/>
  <c r="AP167" i="2"/>
  <c r="AP82" i="2"/>
  <c r="AP133" i="2"/>
  <c r="AP93" i="2"/>
  <c r="AP44" i="2"/>
  <c r="AP126" i="2"/>
  <c r="AP191" i="2"/>
  <c r="AP2" i="2"/>
  <c r="AP24" i="2"/>
  <c r="AP21" i="2"/>
  <c r="AP100" i="2"/>
  <c r="AP48" i="2"/>
  <c r="AP77" i="2"/>
  <c r="AP189" i="2"/>
  <c r="AP184" i="2"/>
  <c r="AP106" i="2"/>
  <c r="AP70" i="2"/>
  <c r="AP178" i="2"/>
  <c r="AP90" i="2"/>
  <c r="AP30" i="2"/>
  <c r="AP18" i="2"/>
  <c r="AP35" i="2"/>
  <c r="AP32" i="2"/>
  <c r="AP108" i="2"/>
  <c r="AP43" i="2"/>
  <c r="AP16" i="2"/>
  <c r="AP29" i="2"/>
  <c r="AP22" i="2"/>
  <c r="AP37" i="2"/>
  <c r="AP96" i="2"/>
  <c r="AP4" i="2"/>
  <c r="AP20" i="2"/>
  <c r="AQ116" i="2"/>
  <c r="AQ130" i="2"/>
  <c r="AQ102" i="2"/>
  <c r="AQ87" i="2"/>
  <c r="AQ124" i="2"/>
  <c r="AQ157" i="2"/>
  <c r="AQ112" i="2"/>
  <c r="AQ131" i="2"/>
  <c r="AQ113" i="2"/>
  <c r="AQ73" i="2"/>
  <c r="AQ26" i="2"/>
  <c r="AQ162" i="2"/>
  <c r="AQ117" i="2"/>
  <c r="AQ17" i="2"/>
  <c r="AQ123" i="2"/>
  <c r="AQ149" i="2"/>
  <c r="AQ15" i="2"/>
  <c r="AQ107" i="2"/>
  <c r="AQ134" i="2"/>
  <c r="AQ55" i="2"/>
  <c r="AQ160" i="2"/>
  <c r="AQ166" i="2"/>
  <c r="AQ57" i="2"/>
  <c r="AQ92" i="2"/>
  <c r="AQ118" i="2"/>
  <c r="AQ31" i="2"/>
  <c r="AQ98" i="2"/>
  <c r="AQ145" i="2"/>
  <c r="AQ154" i="2"/>
  <c r="AQ177" i="2"/>
  <c r="AQ202" i="2"/>
  <c r="AQ203" i="2"/>
  <c r="AQ173" i="2"/>
  <c r="AQ11" i="2"/>
  <c r="AQ7" i="2"/>
  <c r="AQ33" i="2"/>
  <c r="AQ132" i="2"/>
  <c r="AQ174" i="2"/>
  <c r="AQ45" i="2"/>
  <c r="AQ163" i="2"/>
  <c r="AQ192" i="2"/>
  <c r="AQ158" i="2"/>
  <c r="AQ170" i="2"/>
  <c r="AQ13" i="2"/>
  <c r="AQ204" i="2"/>
  <c r="AQ168" i="2"/>
  <c r="AQ156" i="2"/>
  <c r="AQ164" i="2"/>
  <c r="AQ147" i="2"/>
  <c r="AQ187" i="2"/>
  <c r="AQ196" i="2"/>
  <c r="AQ119" i="2"/>
  <c r="AQ47" i="2"/>
  <c r="AQ38" i="2"/>
  <c r="AQ99" i="2"/>
  <c r="AQ79" i="2"/>
  <c r="AQ27" i="2"/>
  <c r="AQ76" i="2"/>
  <c r="AQ146" i="2"/>
  <c r="AQ148" i="2"/>
  <c r="AQ85" i="2"/>
  <c r="AQ197" i="2"/>
  <c r="AQ172" i="2"/>
  <c r="AQ42" i="2"/>
  <c r="AQ114" i="2"/>
  <c r="AQ64" i="2"/>
  <c r="AQ175" i="2"/>
  <c r="AQ86" i="2"/>
  <c r="AQ180" i="2"/>
  <c r="AQ54" i="2"/>
  <c r="AQ12" i="2"/>
  <c r="AQ186" i="2"/>
  <c r="AQ165" i="2"/>
  <c r="AQ129" i="2"/>
  <c r="AQ101" i="2"/>
  <c r="AQ6" i="2"/>
  <c r="AQ19" i="2"/>
  <c r="AQ125" i="2"/>
  <c r="AQ115" i="2"/>
  <c r="AQ152" i="2"/>
  <c r="AQ59" i="2"/>
  <c r="AQ53" i="2"/>
  <c r="AQ144" i="2"/>
  <c r="AQ205" i="2"/>
  <c r="AQ169" i="2"/>
  <c r="AQ138" i="2"/>
  <c r="AQ137" i="2"/>
  <c r="AQ71" i="2"/>
  <c r="AQ41" i="2"/>
  <c r="AQ28" i="2"/>
  <c r="AQ74" i="2"/>
  <c r="AQ95" i="2"/>
  <c r="AQ84" i="2"/>
  <c r="AQ159" i="2"/>
  <c r="AQ151" i="2"/>
  <c r="AQ103" i="2"/>
  <c r="AQ97" i="2"/>
  <c r="AQ136" i="2"/>
  <c r="AQ208" i="2"/>
  <c r="AQ10" i="2"/>
  <c r="AQ121" i="2"/>
  <c r="AQ185" i="2"/>
  <c r="AQ122" i="2"/>
  <c r="AQ49" i="2"/>
  <c r="AQ88" i="2"/>
  <c r="AQ111" i="2"/>
  <c r="AQ80" i="2"/>
  <c r="AQ198" i="2"/>
  <c r="AQ68" i="2"/>
  <c r="AQ193" i="2"/>
  <c r="AQ194" i="2"/>
  <c r="AQ142" i="2"/>
  <c r="AQ63" i="2"/>
  <c r="AQ110" i="2"/>
  <c r="AQ140" i="2"/>
  <c r="AQ34" i="2"/>
  <c r="AQ67" i="2"/>
  <c r="AQ78" i="2"/>
  <c r="AQ150" i="2"/>
  <c r="AQ14" i="2"/>
  <c r="AQ199" i="2"/>
  <c r="AQ127" i="2"/>
  <c r="AQ190" i="2"/>
  <c r="AQ89" i="2"/>
  <c r="AQ83" i="2"/>
  <c r="AQ171" i="2"/>
  <c r="AQ104" i="2"/>
  <c r="AQ75" i="2"/>
  <c r="AQ23" i="2"/>
  <c r="AQ153" i="2"/>
  <c r="AQ94" i="2"/>
  <c r="AQ69" i="2"/>
  <c r="AQ62" i="2"/>
  <c r="AQ200" i="2"/>
  <c r="AQ188" i="2"/>
  <c r="AQ139" i="2"/>
  <c r="AQ61" i="2"/>
  <c r="AQ65" i="2"/>
  <c r="AQ109" i="2"/>
  <c r="AQ195" i="2"/>
  <c r="AQ51" i="2"/>
  <c r="AQ91" i="2"/>
  <c r="AQ143" i="2"/>
  <c r="AQ52" i="2"/>
  <c r="AQ105" i="2"/>
  <c r="AQ161" i="2"/>
  <c r="AQ39" i="2"/>
  <c r="AQ81" i="2"/>
  <c r="AQ120" i="2"/>
  <c r="AQ141" i="2"/>
  <c r="AQ128" i="2"/>
  <c r="AQ66" i="2"/>
  <c r="AQ201" i="2"/>
  <c r="AQ182" i="2"/>
  <c r="AQ40" i="2"/>
  <c r="AQ9" i="2"/>
  <c r="AQ72" i="2"/>
  <c r="AQ25" i="2"/>
  <c r="AQ176" i="2"/>
  <c r="AQ50" i="2"/>
  <c r="AQ58" i="2"/>
  <c r="AQ207" i="2"/>
  <c r="AQ36" i="2"/>
  <c r="AQ155" i="2"/>
  <c r="AQ8" i="2"/>
  <c r="AQ5" i="2"/>
  <c r="AQ206" i="2"/>
  <c r="AQ46" i="2"/>
  <c r="AQ135" i="2"/>
  <c r="AQ60" i="2"/>
  <c r="AQ56" i="2"/>
  <c r="AQ179" i="2"/>
  <c r="AQ183" i="2"/>
  <c r="AQ181" i="2"/>
  <c r="AQ167" i="2"/>
  <c r="AQ82" i="2"/>
  <c r="AQ133" i="2"/>
  <c r="AQ93" i="2"/>
  <c r="AQ44" i="2"/>
  <c r="AQ126" i="2"/>
  <c r="AQ191" i="2"/>
  <c r="AQ2" i="2"/>
  <c r="AQ24" i="2"/>
  <c r="AQ21" i="2"/>
  <c r="AQ100" i="2"/>
  <c r="AQ48" i="2"/>
  <c r="AQ77" i="2"/>
  <c r="AQ189" i="2"/>
  <c r="AQ184" i="2"/>
  <c r="AQ106" i="2"/>
  <c r="AQ70" i="2"/>
  <c r="AQ178" i="2"/>
  <c r="AQ90" i="2"/>
  <c r="AQ30" i="2"/>
  <c r="AQ18" i="2"/>
  <c r="AQ35" i="2"/>
  <c r="AQ32" i="2"/>
  <c r="AQ108" i="2"/>
  <c r="AQ43" i="2"/>
  <c r="AQ16" i="2"/>
  <c r="AQ29" i="2"/>
  <c r="AQ22" i="2"/>
  <c r="AQ37" i="2"/>
  <c r="AQ96" i="2"/>
  <c r="AQ4" i="2"/>
  <c r="AQ20" i="2"/>
  <c r="I7" i="7"/>
  <c r="H7" i="7"/>
  <c r="G7" i="7"/>
  <c r="C27" i="7"/>
  <c r="C22" i="7" l="1"/>
  <c r="B27" i="7"/>
  <c r="D27" i="7"/>
  <c r="B20" i="7"/>
  <c r="B21" i="7"/>
  <c r="B2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EBCEE7-E4FB-4641-9B9D-5C1EAE1EB500}" keepAlive="1" name="Consulta - df_arabica_clean" description="Conexión a la consulta 'df_arabica_clean' en el libro." type="5" refreshedVersion="8" background="1" saveData="1">
    <dbPr connection="Provider=Microsoft.Mashup.OleDb.1;Data Source=$Workbook$;Location=df_arabica_clean;Extended Properties=&quot;&quot;" command="SELECT * FROM [df_arabica_clean]"/>
  </connection>
</connections>
</file>

<file path=xl/sharedStrings.xml><?xml version="1.0" encoding="utf-8"?>
<sst xmlns="http://schemas.openxmlformats.org/spreadsheetml/2006/main" count="4209" uniqueCount="1250">
  <si>
    <t>Column1</t>
  </si>
  <si>
    <t>ID</t>
  </si>
  <si>
    <t>Country of Origin</t>
  </si>
  <si>
    <t>Farm Name</t>
  </si>
  <si>
    <t>Lot Number</t>
  </si>
  <si>
    <t>Mill</t>
  </si>
  <si>
    <t>Company</t>
  </si>
  <si>
    <t>Altitude</t>
  </si>
  <si>
    <t>Region</t>
  </si>
  <si>
    <t>Producer</t>
  </si>
  <si>
    <t>Number of Bags</t>
  </si>
  <si>
    <t>Bag Weight</t>
  </si>
  <si>
    <t>In-Country Partner</t>
  </si>
  <si>
    <t>Harvest Year</t>
  </si>
  <si>
    <t>Grading Date</t>
  </si>
  <si>
    <t>Owner</t>
  </si>
  <si>
    <t>Variety</t>
  </si>
  <si>
    <t>Status</t>
  </si>
  <si>
    <t>Processing Method</t>
  </si>
  <si>
    <t>Aroma</t>
  </si>
  <si>
    <t>Flavor</t>
  </si>
  <si>
    <t>Aftertaste</t>
  </si>
  <si>
    <t>Acidity</t>
  </si>
  <si>
    <t>Body</t>
  </si>
  <si>
    <t>Balance</t>
  </si>
  <si>
    <t>Uniformity</t>
  </si>
  <si>
    <t>Clean Cup</t>
  </si>
  <si>
    <t>Sweetness</t>
  </si>
  <si>
    <t>Overall</t>
  </si>
  <si>
    <t>Total Cup Points</t>
  </si>
  <si>
    <t>Moisture Percentage</t>
  </si>
  <si>
    <t>Category One Defects</t>
  </si>
  <si>
    <t>Quakers</t>
  </si>
  <si>
    <t>Color</t>
  </si>
  <si>
    <t>Category Two Defects</t>
  </si>
  <si>
    <t>Expiration</t>
  </si>
  <si>
    <t>Certification Body</t>
  </si>
  <si>
    <t>Certification Address</t>
  </si>
  <si>
    <t>Certification Contact</t>
  </si>
  <si>
    <t>Colombia</t>
  </si>
  <si>
    <t>Finca El Paraiso</t>
  </si>
  <si>
    <t>CQU2022015</t>
  </si>
  <si>
    <t/>
  </si>
  <si>
    <t>Coffee Quality Union</t>
  </si>
  <si>
    <t>Piendamo,Cauca</t>
  </si>
  <si>
    <t>Diego Samuel Bermudez</t>
  </si>
  <si>
    <t>35 kg</t>
  </si>
  <si>
    <t>Japan Coffee Exchange</t>
  </si>
  <si>
    <t>2021 / 2022</t>
  </si>
  <si>
    <t>September 21st, 2022</t>
  </si>
  <si>
    <t>Castillo</t>
  </si>
  <si>
    <t>Completed</t>
  </si>
  <si>
    <t>Double Anaerobic Washed</t>
  </si>
  <si>
    <t>green</t>
  </si>
  <si>
    <t>September 21st, 2023</t>
  </si>
  <si>
    <t>〒413-0002 静岡県熱海市伊豆山１１７３−５８ 1173-58 Izusan, Atami, Shizuoka, 413-0002 JAPAN</t>
  </si>
  <si>
    <t>松澤　宏樹　Koju Matsuzawa - +81(0)9085642901</t>
  </si>
  <si>
    <t>Taiwan</t>
  </si>
  <si>
    <t>Royal Bean Geisha Estate</t>
  </si>
  <si>
    <t>The 2022 Pacific Rim Coffee Summit,T037</t>
  </si>
  <si>
    <t>Taiwan Coffee Laboratory</t>
  </si>
  <si>
    <t>Chiayi</t>
  </si>
  <si>
    <t>曾福森</t>
  </si>
  <si>
    <t>80 kg</t>
  </si>
  <si>
    <t>Taiwan Coffee Laboratory 台灣咖啡研究室</t>
  </si>
  <si>
    <t>November 15th, 2022</t>
  </si>
  <si>
    <t>Gesha</t>
  </si>
  <si>
    <t>Washed / Wet</t>
  </si>
  <si>
    <t>blue-green</t>
  </si>
  <si>
    <t>November 15th, 2023</t>
  </si>
  <si>
    <t>QAHWAH CO., LTD 4F, No. 225, Sec. 3, Beixin Rd., Xindian Dist. New Taipei City, Taiwan</t>
  </si>
  <si>
    <t>Lin, Jen-An Neil 林仁安 - 886-289116612</t>
  </si>
  <si>
    <t>Laos</t>
  </si>
  <si>
    <t>OKLAO coffee farms</t>
  </si>
  <si>
    <t>The 2022 Pacific Rim Coffee Summit,LA01</t>
  </si>
  <si>
    <t>oklao coffee processing plant</t>
  </si>
  <si>
    <t>Laos Borofen Plateau</t>
  </si>
  <si>
    <t>WU TAO CHI</t>
  </si>
  <si>
    <t>25 kg</t>
  </si>
  <si>
    <t>Java</t>
  </si>
  <si>
    <t>Semi Washed</t>
  </si>
  <si>
    <t>yellowish</t>
  </si>
  <si>
    <t>Costa Rica</t>
  </si>
  <si>
    <t>La Cumbre</t>
  </si>
  <si>
    <t>CQU2022017</t>
  </si>
  <si>
    <t>La Montana Tarrazu MIll</t>
  </si>
  <si>
    <t>Los Santos,Tarrazu</t>
  </si>
  <si>
    <t>Santa Maria de Dota</t>
  </si>
  <si>
    <t>22 kg</t>
  </si>
  <si>
    <t>2022</t>
  </si>
  <si>
    <t>Finca Santuario</t>
  </si>
  <si>
    <t>CQU2023002</t>
  </si>
  <si>
    <t>Popayan,Cauca</t>
  </si>
  <si>
    <t>Camilo Merizalde</t>
  </si>
  <si>
    <t>24 kg</t>
  </si>
  <si>
    <t>March 6th, 2023</t>
  </si>
  <si>
    <t>Red Bourbon</t>
  </si>
  <si>
    <t>Honey,Mossto</t>
  </si>
  <si>
    <t>yellow-green</t>
  </si>
  <si>
    <t>March 5th, 2024</t>
  </si>
  <si>
    <t>Guatemala</t>
  </si>
  <si>
    <t>La Colina</t>
  </si>
  <si>
    <t>The 2022 Pacific Rim Coffee Summit,GT02</t>
  </si>
  <si>
    <t>Dinámica Café</t>
  </si>
  <si>
    <t>Chimaltenango</t>
  </si>
  <si>
    <t>Emilio Antonio Medina Garcia</t>
  </si>
  <si>
    <t>30 kg</t>
  </si>
  <si>
    <t>野牡丹咖啡莊園 Melastoma Coffee Estate</t>
  </si>
  <si>
    <t>The 2022 Pacific Rim Coffee Summit,T034</t>
  </si>
  <si>
    <t>野牡丹咖啡</t>
  </si>
  <si>
    <t>黃保錫</t>
  </si>
  <si>
    <t>27 kg</t>
  </si>
  <si>
    <t>七彩琉璃咖啡莊園 Chi Tsai Liu Li Ecological Farm</t>
  </si>
  <si>
    <t>The 2022 Pacific Rim Coffee Summit,T050</t>
  </si>
  <si>
    <t>七彩琉璃咖啡莊園</t>
  </si>
  <si>
    <t>莊家榮</t>
  </si>
  <si>
    <t>90 kg</t>
  </si>
  <si>
    <t>Sl34+Gesha</t>
  </si>
  <si>
    <t>Natural / Dry</t>
  </si>
  <si>
    <t>yellow green</t>
  </si>
  <si>
    <t>亮軒咖啡莊園 Liang Xuan Coffee Farm</t>
  </si>
  <si>
    <t>The 2022 Pacific Rim Coffee Summit,T018</t>
  </si>
  <si>
    <t>亮軒咖啡莊園</t>
  </si>
  <si>
    <t>鍾旭亮</t>
  </si>
  <si>
    <t>SL34</t>
  </si>
  <si>
    <t>greenish</t>
  </si>
  <si>
    <t>Tanzania, United Republic Of</t>
  </si>
  <si>
    <t>MASHIMA AMCOS</t>
  </si>
  <si>
    <t>CN 4127230034/4189230113</t>
  </si>
  <si>
    <t>GOURMET COFFEE MILL</t>
  </si>
  <si>
    <t>DORMAN (T) LIMITED</t>
  </si>
  <si>
    <t>KILIMANJARO</t>
  </si>
  <si>
    <t>60 kg</t>
  </si>
  <si>
    <t>Kenya Coffee Traders Association</t>
  </si>
  <si>
    <t>2022 / 2023</t>
  </si>
  <si>
    <t>February 1st, 2023</t>
  </si>
  <si>
    <t>Gilbert Maina</t>
  </si>
  <si>
    <t>Bourbon</t>
  </si>
  <si>
    <t>February 1st, 2024</t>
  </si>
  <si>
    <t>P.O. Box 646 00100Nairobi, Kenya, Denniss Pritt Road, Opposite St Georges Girls Secondary School</t>
  </si>
  <si>
    <t>Benson Kibicho Kamau - +254 786 821 621</t>
  </si>
  <si>
    <t>Ethiopia</t>
  </si>
  <si>
    <t>TADE GG</t>
  </si>
  <si>
    <t>010/0296/600</t>
  </si>
  <si>
    <t>Moledo社　委託精選場</t>
  </si>
  <si>
    <t>Marubeni corp.,</t>
  </si>
  <si>
    <t>Guji</t>
  </si>
  <si>
    <t>Tesfaye Bekele Degaga</t>
  </si>
  <si>
    <t>May 31st, 2022</t>
  </si>
  <si>
    <t>ERI ASAEDA</t>
  </si>
  <si>
    <t>Ethiopian Heirlooms</t>
  </si>
  <si>
    <t>May 31st, 2023</t>
  </si>
  <si>
    <t>Karen Acajabon Coffee Farm</t>
  </si>
  <si>
    <t>The 2022 Pacific Rim Coffee Summit,GT12</t>
  </si>
  <si>
    <t>Cafetoland</t>
  </si>
  <si>
    <t>Acatenango</t>
  </si>
  <si>
    <t>Karen Acajabon</t>
  </si>
  <si>
    <t>15 kg</t>
  </si>
  <si>
    <t>2021</t>
  </si>
  <si>
    <t>Full Sweet Coffee</t>
  </si>
  <si>
    <t>brownish</t>
  </si>
  <si>
    <t>古峰咖啡莊園 Goodfun Coffee Farm</t>
  </si>
  <si>
    <t>The 2022 Pacific Rim Coffee Summit,T051</t>
  </si>
  <si>
    <t>古峰咖啡莊園</t>
  </si>
  <si>
    <t>Yunlin</t>
  </si>
  <si>
    <t>賴彥合</t>
  </si>
  <si>
    <t>Goodfun</t>
  </si>
  <si>
    <t>Gelana Geisha</t>
  </si>
  <si>
    <t>Grade 1, Guji, Natural, Gelana Geisha</t>
  </si>
  <si>
    <t>Dry Mill or Hulling Facility</t>
  </si>
  <si>
    <t>Kerchanshe Trading PLC</t>
  </si>
  <si>
    <t>Kerchanshe</t>
  </si>
  <si>
    <t>METAD Agricultural Development plc</t>
  </si>
  <si>
    <t>August 26th, 2022</t>
  </si>
  <si>
    <t>Isreal Degefa</t>
  </si>
  <si>
    <t>yellow- green</t>
  </si>
  <si>
    <t>August 26th, 2023</t>
  </si>
  <si>
    <t>BAWA Center, 3rd Floor (Gerji), Addis Ababa, Ethiopia</t>
  </si>
  <si>
    <t>Aman Adinew (Emebet Dinku) - +251-116-292534, +251-911-519196</t>
  </si>
  <si>
    <t>La Gaitania</t>
  </si>
  <si>
    <t>The 2022 Pacific Rim Coffee Summit,CO03</t>
  </si>
  <si>
    <t>tolima</t>
  </si>
  <si>
    <t>Josue Enciso Suarez</t>
  </si>
  <si>
    <t>PeiHsun Lin</t>
  </si>
  <si>
    <t>Caturra</t>
  </si>
  <si>
    <t>青葉咖啡莊園</t>
  </si>
  <si>
    <t>The 2022 Pacific Rim Coffee Summit,T014</t>
  </si>
  <si>
    <t>葉世遠</t>
  </si>
  <si>
    <t>Pulped natural / honey</t>
  </si>
  <si>
    <t>Halo Bariti Cooprative</t>
  </si>
  <si>
    <t>CQU2023006</t>
  </si>
  <si>
    <t>Gedeb,Yirgacheffe,Sidamo</t>
  </si>
  <si>
    <t>5 kg</t>
  </si>
  <si>
    <t>April 7th, 2023</t>
  </si>
  <si>
    <t>Wolishalo,Kurume,Dega</t>
  </si>
  <si>
    <t>April 6th, 2024</t>
  </si>
  <si>
    <t>東璧咖啡莊園</t>
  </si>
  <si>
    <t>202203</t>
  </si>
  <si>
    <t>yes</t>
  </si>
  <si>
    <t>Dongbi coffee</t>
  </si>
  <si>
    <t>Shibi, Gukeng Township, Yunlin County 郵遞區號 , Taiwan (R.O.C.)</t>
  </si>
  <si>
    <t>陳景立</t>
  </si>
  <si>
    <t>2 kg</t>
  </si>
  <si>
    <t>Blossom Valley International宸嶧國際</t>
  </si>
  <si>
    <t>October 24th, 2022</t>
  </si>
  <si>
    <t>Dongbi</t>
  </si>
  <si>
    <t>October 24th, 2023</t>
  </si>
  <si>
    <t>No.72 Mo-Fan St. Taiwan Zip: 403</t>
  </si>
  <si>
    <t>Damon Chen陳嘉峻 - +886423022323</t>
  </si>
  <si>
    <t>櫻桃果古坑咖啡莊園</t>
  </si>
  <si>
    <t>202112</t>
  </si>
  <si>
    <t>宸嶧國際有限公司</t>
  </si>
  <si>
    <t>Gukeng Township, Yunlin County</t>
  </si>
  <si>
    <t>王瀅惠</t>
  </si>
  <si>
    <t>1 kg</t>
  </si>
  <si>
    <t>BURKA</t>
  </si>
  <si>
    <t>CN 4127230032/P-9140</t>
  </si>
  <si>
    <t>Arusha</t>
  </si>
  <si>
    <t>Finca Vista Hermosa</t>
  </si>
  <si>
    <t>The 2022 Pacific Rim Coffee Summit,GT03</t>
  </si>
  <si>
    <t>El Vergel</t>
  </si>
  <si>
    <t>Guatemala, Fraijanes, Santa Rosa</t>
  </si>
  <si>
    <t>Fredy Orantes</t>
  </si>
  <si>
    <t>Carlos Pascual - 潘仕杰</t>
  </si>
  <si>
    <t>仲大叔咖啡莊園Uncle Chung.s Coffee Farm</t>
  </si>
  <si>
    <t>2022/03</t>
  </si>
  <si>
    <t>卓溪鄉Zhuoxi Township</t>
  </si>
  <si>
    <t>游婷淯 YU TING YU</t>
  </si>
  <si>
    <t>20 kg</t>
  </si>
  <si>
    <t>December 12th, 2022</t>
  </si>
  <si>
    <t>Yu Ting Yu 游婷淯</t>
  </si>
  <si>
    <t>Typica</t>
  </si>
  <si>
    <t>December 12th, 2023</t>
  </si>
  <si>
    <t>Thailand</t>
  </si>
  <si>
    <t>Hom Doi</t>
  </si>
  <si>
    <t>1</t>
  </si>
  <si>
    <t>Machines to peel outer skin of the cherry coffee and coffee is dried manually</t>
  </si>
  <si>
    <t>Lyrose</t>
  </si>
  <si>
    <t>Chiang Mai</t>
  </si>
  <si>
    <t>Lisu farmers</t>
  </si>
  <si>
    <t>FABB Academy of Coffee</t>
  </si>
  <si>
    <t>August 16th, 2022</t>
  </si>
  <si>
    <t>Christian Charmette</t>
  </si>
  <si>
    <t>Catimor</t>
  </si>
  <si>
    <t>browish-green</t>
  </si>
  <si>
    <t>August 16th, 2023</t>
  </si>
  <si>
    <t>FABB ACADEMY OF COFFEE 259/313 SUKHUMVIT 71 RD., SOI PRIDI BANOMYONG 15, VHADANA BKK, 10110 THAILAND</t>
  </si>
  <si>
    <t>Janejira Kamonsawedkun - +(66) 095 095 9593</t>
  </si>
  <si>
    <t>El Diamante</t>
  </si>
  <si>
    <t>CQU2023005</t>
  </si>
  <si>
    <t>Quindio</t>
  </si>
  <si>
    <t>Farm Bedoya Arango</t>
  </si>
  <si>
    <t>Castillo Paraguaycito</t>
  </si>
  <si>
    <t>永舜咖啡莊園</t>
  </si>
  <si>
    <t>The 2022 Pacific Rim Coffee Summit, T003</t>
  </si>
  <si>
    <t>蘇甘永</t>
  </si>
  <si>
    <t>50 kg</t>
  </si>
  <si>
    <t>bluish-green</t>
  </si>
  <si>
    <t>Brazil</t>
  </si>
  <si>
    <t>Fazenda Recreio</t>
  </si>
  <si>
    <t>Arara 1</t>
  </si>
  <si>
    <t>Dry mill</t>
  </si>
  <si>
    <t>WIT wealth, investments &amp; trust</t>
  </si>
  <si>
    <t>Região Vulcânica</t>
  </si>
  <si>
    <t>Diogo T. Dias de Macedo</t>
  </si>
  <si>
    <t>Brazil Specialty Coffee Association</t>
  </si>
  <si>
    <t>January 6th, 2023</t>
  </si>
  <si>
    <t>Andre Clark</t>
  </si>
  <si>
    <t>January 6th, 2024</t>
  </si>
  <si>
    <t>Rua Gaspar Batista Paiva, 416 – Santa Luiza Varginha/MG – Brazil</t>
  </si>
  <si>
    <t>Chris Allen - 55 35 3212-4705</t>
  </si>
  <si>
    <t>鄒築園ZouZhouYuan</t>
  </si>
  <si>
    <t>The 2022 Pacific Rim Coffee Summit,T024</t>
  </si>
  <si>
    <t>方政倫</t>
  </si>
  <si>
    <t>100 kg</t>
  </si>
  <si>
    <t>Fang, Cheng Lun 方政倫</t>
  </si>
  <si>
    <t>嵩岳咖啡莊園</t>
  </si>
  <si>
    <t>The 2022 Pacific Rim Coffee Summit,T048</t>
  </si>
  <si>
    <t>郭志豪</t>
  </si>
  <si>
    <t>Jhih Hao,GUO 郭志豪</t>
  </si>
  <si>
    <t>他扶芽有機農園</t>
  </si>
  <si>
    <t>The 2022 Pacific Rim Coffee Summit,T045</t>
  </si>
  <si>
    <t>陳清龍</t>
  </si>
  <si>
    <t>85 kg</t>
  </si>
  <si>
    <t>United States (Hawaii)</t>
  </si>
  <si>
    <t>Hokukano Ranch</t>
  </si>
  <si>
    <t>The 2022 Pacific Rim Coffee Summit,US01</t>
  </si>
  <si>
    <t>Kona Coffee &amp; Tea</t>
  </si>
  <si>
    <t>Kona</t>
  </si>
  <si>
    <t>Kona Hills LLC</t>
  </si>
  <si>
    <t>鄉庭有機農場Siang-Ting Organic Farm</t>
  </si>
  <si>
    <t>2022/3/1(老叢)</t>
  </si>
  <si>
    <t>壽豐鄉Shoufeng Township</t>
  </si>
  <si>
    <t>張進義Zhang Jin-Yi</t>
  </si>
  <si>
    <t>48 kg</t>
  </si>
  <si>
    <t>Zhang Jin Yi 張進義</t>
  </si>
  <si>
    <t>2022/02</t>
  </si>
  <si>
    <t>金讚咖啡農莊園(Jinzan Coffee Estate)</t>
  </si>
  <si>
    <t>2022臺南市精品咖啡評鑑批次</t>
  </si>
  <si>
    <t>Dongshan Dist., Tainan City</t>
  </si>
  <si>
    <t>葉明讚 (YE,MING-ZAN)</t>
  </si>
  <si>
    <t>June 8th, 2022</t>
  </si>
  <si>
    <t>June 8th, 2023</t>
  </si>
  <si>
    <t>Eshetu farm</t>
  </si>
  <si>
    <t>Washed Limmu</t>
  </si>
  <si>
    <t>Lata Agri export</t>
  </si>
  <si>
    <t>Alo Coffee</t>
  </si>
  <si>
    <t>Oromia</t>
  </si>
  <si>
    <t>Eshetu</t>
  </si>
  <si>
    <t>June 6th, 2022</t>
  </si>
  <si>
    <t>Tamiru Tadesse Tesema</t>
  </si>
  <si>
    <t>June 6th, 2023</t>
  </si>
  <si>
    <t>Uraga Bisrat washing station</t>
  </si>
  <si>
    <t>0065</t>
  </si>
  <si>
    <t>dry mill</t>
  </si>
  <si>
    <t>TADESSE DESTA IMPORT &amp; EXPORT</t>
  </si>
  <si>
    <t>Southern Ethiopia Guji</t>
  </si>
  <si>
    <t>Bisrat Melaku</t>
  </si>
  <si>
    <t>September 30th, 2022</t>
  </si>
  <si>
    <t>Tadessa Desta Amene</t>
  </si>
  <si>
    <t>September 30th, 2023</t>
  </si>
  <si>
    <t>YHAENU PLC FARM</t>
  </si>
  <si>
    <t>GUJI COFFEE EXPORT P.L.C</t>
  </si>
  <si>
    <t>yhaenu plc</t>
  </si>
  <si>
    <t>OROMIA</t>
  </si>
  <si>
    <t>YHAENU PLC</t>
  </si>
  <si>
    <t>19200 kg</t>
  </si>
  <si>
    <t>卓武山咖啡農場</t>
  </si>
  <si>
    <t>The 2022 Pacific Rim Coffee Summit, T004</t>
  </si>
  <si>
    <t>許定燁</t>
  </si>
  <si>
    <t>Hsu Ting Yey許定燁</t>
  </si>
  <si>
    <t>御香咖啡園 YU SIANG Coffee Estate</t>
  </si>
  <si>
    <t>陳建源(CHEN, JIAN-YUAN)</t>
  </si>
  <si>
    <t>Kenya</t>
  </si>
  <si>
    <t>Small Holder</t>
  </si>
  <si>
    <t>5516</t>
  </si>
  <si>
    <t>NKG</t>
  </si>
  <si>
    <t>IBERO (K) LTD</t>
  </si>
  <si>
    <t>Central</t>
  </si>
  <si>
    <t>February 28th, 2023</t>
  </si>
  <si>
    <t>Judith Murimi</t>
  </si>
  <si>
    <t>SL28</t>
  </si>
  <si>
    <t>February 28th, 2024</t>
  </si>
  <si>
    <t>皇庭咖啡莊園</t>
  </si>
  <si>
    <t>Caoling , Gukeng Township, Yunlin County</t>
  </si>
  <si>
    <t>陳榮豐</t>
  </si>
  <si>
    <t>2017 / 2018</t>
  </si>
  <si>
    <t>CHEN RONG FENG</t>
  </si>
  <si>
    <t>花蓮縣秀林鄉特用作物（咖啡）產銷第一班Agriculture Production and Marketing Groups of Hualien Shlin township special crop (coffee) 1st class</t>
  </si>
  <si>
    <t>2022/01</t>
  </si>
  <si>
    <t>秀林鄉Show Linxia Township</t>
  </si>
  <si>
    <t>李志祥 Li Zhi-xia</t>
  </si>
  <si>
    <t>10 kg</t>
  </si>
  <si>
    <t>八一高地</t>
  </si>
  <si>
    <t>屏東縣三地門鄉德文段</t>
  </si>
  <si>
    <t>乾燥機、脫殼機</t>
  </si>
  <si>
    <t>茂泰生技股份有限公司</t>
  </si>
  <si>
    <t>台灣屏東</t>
  </si>
  <si>
    <t>陳科翰</t>
  </si>
  <si>
    <t>December 30th, 2022</t>
  </si>
  <si>
    <t>Ethan Lee 李宗儒</t>
  </si>
  <si>
    <t>December 30th, 2023</t>
  </si>
  <si>
    <t>香夾蘭莊園</t>
  </si>
  <si>
    <t>A26-Northern Taiwan Specialty Coffee Evaluation</t>
  </si>
  <si>
    <t>Taiwu Coffee Cooperative</t>
  </si>
  <si>
    <t>苗栗縣</t>
  </si>
  <si>
    <t>黃簡秋蘭</t>
  </si>
  <si>
    <t>Taiwu</t>
  </si>
  <si>
    <t>pale yellow</t>
  </si>
  <si>
    <t>Uganda</t>
  </si>
  <si>
    <t>Gideon Kule</t>
  </si>
  <si>
    <t>7938</t>
  </si>
  <si>
    <t>Dry Mill</t>
  </si>
  <si>
    <t>Kyagalanyi Coffee Limited</t>
  </si>
  <si>
    <t>Rwenzori</t>
  </si>
  <si>
    <t>Kyagalanyi coffee limited</t>
  </si>
  <si>
    <t>Uganda Coffee Development Authority</t>
  </si>
  <si>
    <t>June 29th, 2022</t>
  </si>
  <si>
    <t>KYAGALANYI COFFEE LIMITED</t>
  </si>
  <si>
    <t>SL14</t>
  </si>
  <si>
    <t>June 29th, 2023</t>
  </si>
  <si>
    <t>Coffee House, Plot 35, Jinja Road, P.O. Box 7267, Kampala, Uganda</t>
  </si>
  <si>
    <t>Brenda Kamara Kemigisha Mangeni - 256773040119</t>
  </si>
  <si>
    <t>愛姬咖啡莊園iGfarm</t>
  </si>
  <si>
    <t>2021/01</t>
  </si>
  <si>
    <t>劉孟宗 LIU MENG TSUNG</t>
  </si>
  <si>
    <t>Liu Meng Tsung劉孟宗</t>
  </si>
  <si>
    <t>青山坪咖啡農場</t>
  </si>
  <si>
    <t>The 2022 Pacific Rim Coffee Summit,T011</t>
  </si>
  <si>
    <t>王清連</t>
  </si>
  <si>
    <t>varias fincas</t>
  </si>
  <si>
    <t>11/15/118</t>
  </si>
  <si>
    <t>Beneficio Pastores</t>
  </si>
  <si>
    <t>Peter Schoenfeld, S.A.</t>
  </si>
  <si>
    <t>Antigua</t>
  </si>
  <si>
    <t>Varios productores</t>
  </si>
  <si>
    <t>Asociacion Nacional Del Café</t>
  </si>
  <si>
    <t>April 17th, 2023</t>
  </si>
  <si>
    <t>Yesica Alejandra Martìnez Vàsquez</t>
  </si>
  <si>
    <t>April 16th, 2024</t>
  </si>
  <si>
    <t>5a Calle 0-50, Zona 14 Guatemala City, Guatemala 1014</t>
  </si>
  <si>
    <t>Brayan Cifuentes -</t>
  </si>
  <si>
    <t>PEÑA BLANCA</t>
  </si>
  <si>
    <t>11/951/279</t>
  </si>
  <si>
    <t>BENEFICIO LAS AMERICAS</t>
  </si>
  <si>
    <t>OLAM AGRO GUATEMALA, S.A.</t>
  </si>
  <si>
    <t>Santa Rosa</t>
  </si>
  <si>
    <t>PABLO CHUY</t>
  </si>
  <si>
    <t>February 23rd, 2023</t>
  </si>
  <si>
    <t>Catuai</t>
  </si>
  <si>
    <t>February 23rd, 2024</t>
  </si>
  <si>
    <t>san francisco cotzal</t>
  </si>
  <si>
    <t>11/441/50</t>
  </si>
  <si>
    <t>inmobiliaria e inversiones dos mil, s.a.</t>
  </si>
  <si>
    <t>quiche</t>
  </si>
  <si>
    <t>69 kg</t>
  </si>
  <si>
    <t>June 22nd, 2022</t>
  </si>
  <si>
    <t>Angelica Paola Citan Lopez</t>
  </si>
  <si>
    <t>June 22nd, 2023</t>
  </si>
  <si>
    <t>六曲窩</t>
  </si>
  <si>
    <t>A03-Northern Taiwan Specialty Coffee Evaluation</t>
  </si>
  <si>
    <t>新竹縣</t>
  </si>
  <si>
    <t>黃俊淦</t>
  </si>
  <si>
    <t>13 kg</t>
  </si>
  <si>
    <t>北平山林</t>
  </si>
  <si>
    <t>A23-Northern Taiwan Specialty Coffee Evaluation</t>
  </si>
  <si>
    <t>戴禎男</t>
  </si>
  <si>
    <t>4 kg</t>
  </si>
  <si>
    <t>Yellow Bourbon</t>
  </si>
  <si>
    <t>Indonesia</t>
  </si>
  <si>
    <t>PT Indo CafCo North Sumatera</t>
  </si>
  <si>
    <t>016/1513/262</t>
  </si>
  <si>
    <t>PT Indo CafCo</t>
  </si>
  <si>
    <t>InterAmerican Coffee</t>
  </si>
  <si>
    <t>Aceh Tengah</t>
  </si>
  <si>
    <t>NKG Quality Service (a division of Bernhard Rothfos Intercafé AG)</t>
  </si>
  <si>
    <t>September 23rd, 2022</t>
  </si>
  <si>
    <t>Charles Umeano</t>
  </si>
  <si>
    <t>September 23rd, 2023</t>
  </si>
  <si>
    <t>Bahnhofstrasse 22 6300 Zug, Switzerland</t>
  </si>
  <si>
    <t>Tirza Odermatt - +41 41 728 72 81</t>
  </si>
  <si>
    <t>Peru</t>
  </si>
  <si>
    <t>Ruya Yayu Farm</t>
  </si>
  <si>
    <t>The 2022 Pacific Rim Coffee Summit,PE02</t>
  </si>
  <si>
    <t>no.</t>
  </si>
  <si>
    <t>Villa Rica</t>
  </si>
  <si>
    <t>Ruya Yayu</t>
  </si>
  <si>
    <t>IYENGA</t>
  </si>
  <si>
    <t>S59588/P03989</t>
  </si>
  <si>
    <t>CITY COFFEE LTD</t>
  </si>
  <si>
    <t>VOLCAFE/TaylorWinch Tanzania Ltd</t>
  </si>
  <si>
    <t>Mbeya</t>
  </si>
  <si>
    <t>IYENGA AMCOS</t>
  </si>
  <si>
    <t>November 9th, 2022</t>
  </si>
  <si>
    <t>Balam Hinyula</t>
  </si>
  <si>
    <t>November 9th, 2023</t>
  </si>
  <si>
    <t>優遊吧斯瑪翡咖啡莊園</t>
  </si>
  <si>
    <t>The 2022 Pacific Rim Coffee Summit,T029</t>
  </si>
  <si>
    <t>鄭虞坪</t>
  </si>
  <si>
    <t>森悅高峰咖啡莊園</t>
  </si>
  <si>
    <t>The 2022 Pacific Rim Coffee Summit,T039</t>
  </si>
  <si>
    <t>Nantou</t>
  </si>
  <si>
    <t>吳振宏</t>
  </si>
  <si>
    <t>Fazenda Guariroba</t>
  </si>
  <si>
    <t>FBT111</t>
  </si>
  <si>
    <t>Wet-Hulling</t>
  </si>
  <si>
    <t>Mirai Seeds Corp.</t>
  </si>
  <si>
    <t>Campo das Vertentes</t>
  </si>
  <si>
    <t>Homero Paiva</t>
  </si>
  <si>
    <t>36 kg</t>
  </si>
  <si>
    <t>February 13th, 2023</t>
  </si>
  <si>
    <t>Marcelo Itoh</t>
  </si>
  <si>
    <t>Double Carbonic Maceration / Natural</t>
  </si>
  <si>
    <t>February 13th, 2024</t>
  </si>
  <si>
    <t>Panama</t>
  </si>
  <si>
    <t>La Santa</t>
  </si>
  <si>
    <t>2-237-05</t>
  </si>
  <si>
    <t>Panamerican Coffee Trading</t>
  </si>
  <si>
    <t>Boquete</t>
  </si>
  <si>
    <t>Specialty Coffee Association of Costa Rica</t>
  </si>
  <si>
    <t>April 26th, 2023</t>
  </si>
  <si>
    <t>Rodrigo Soto</t>
  </si>
  <si>
    <t>April 25th, 2024</t>
  </si>
  <si>
    <t>Blvd Rohrmoser, de Prisma Dental 200 norte y 25 oeste, casa 21</t>
  </si>
  <si>
    <t>Noelia Villalobos - (506) 2220 0685</t>
  </si>
  <si>
    <t>嵐雲綠海咖啡</t>
  </si>
  <si>
    <t>屏東縣瑪家鄉</t>
  </si>
  <si>
    <t>卓榮華</t>
  </si>
  <si>
    <t>Varias Fincas</t>
  </si>
  <si>
    <t>11/15/117</t>
  </si>
  <si>
    <t>Varios Beneficios</t>
  </si>
  <si>
    <t>Huehuetenango</t>
  </si>
  <si>
    <t>Varios Productores</t>
  </si>
  <si>
    <t>April 28th, 2023</t>
  </si>
  <si>
    <t>April 27th, 2024</t>
  </si>
  <si>
    <t>SAN RAFAEL URIAS VALDES</t>
  </si>
  <si>
    <t>11/54876/03</t>
  </si>
  <si>
    <t>ECO COFFEE</t>
  </si>
  <si>
    <t>VALBROS, S. A.</t>
  </si>
  <si>
    <t>ANTIGUA GUATEMALA</t>
  </si>
  <si>
    <t>May 19th, 2022</t>
  </si>
  <si>
    <t>May 19th, 2023</t>
  </si>
  <si>
    <t>Gamboa Farm</t>
  </si>
  <si>
    <t>12075</t>
  </si>
  <si>
    <t>Beneficio Montañas del Diamante</t>
  </si>
  <si>
    <t>CECA S.A.</t>
  </si>
  <si>
    <t>Tarrazu</t>
  </si>
  <si>
    <t>Martin Gutierrez</t>
  </si>
  <si>
    <t>April 19th, 2023</t>
  </si>
  <si>
    <t>Joselyn Morales Quesada</t>
  </si>
  <si>
    <t>April 18th, 2024</t>
  </si>
  <si>
    <t>羅馬8號莊園</t>
  </si>
  <si>
    <t>A11-Northern Taiwan Specialty Coffee Evaluation</t>
  </si>
  <si>
    <t>羅政宏</t>
  </si>
  <si>
    <t>16 kg</t>
  </si>
  <si>
    <t>大鋤花間(Dachu Coffee Estate)</t>
  </si>
  <si>
    <t>( Dongshan Dist., Tainan City)</t>
  </si>
  <si>
    <t>郭雅聰（KUO,YA-TSUNG）</t>
  </si>
  <si>
    <t>KUO, YA-TSUNG</t>
  </si>
  <si>
    <t>Nicaragua</t>
  </si>
  <si>
    <t>Finca Las Dos Marias</t>
  </si>
  <si>
    <t>10 1.1</t>
  </si>
  <si>
    <t>Compare Coperativo Condega, Esteli, Nicaragua</t>
  </si>
  <si>
    <t>NicaNoLA Coffee</t>
  </si>
  <si>
    <t>ESTELI</t>
  </si>
  <si>
    <t>45 kg</t>
  </si>
  <si>
    <t>Specialty Coffee Association</t>
  </si>
  <si>
    <t>June 9th, 2022</t>
  </si>
  <si>
    <t>rene j alcebo</t>
  </si>
  <si>
    <t>Catrenic</t>
  </si>
  <si>
    <t>June 9th, 2023</t>
  </si>
  <si>
    <t>*CURRENTLY NOT ACCEPTING SAMPLES**</t>
  </si>
  <si>
    <t>Brit Amell (CQI) - bamell@coffeeinstitute.org -</t>
  </si>
  <si>
    <t>雅慕伊咖啡莊園</t>
  </si>
  <si>
    <t>The 2022 Pacific Rim Coffee Summit,T036</t>
  </si>
  <si>
    <t>浦瀚文</t>
  </si>
  <si>
    <t>Pu Han Wen</t>
  </si>
  <si>
    <t>名陽園</t>
  </si>
  <si>
    <t>The 2022 Pacific Rim Coffee Summit,T042</t>
  </si>
  <si>
    <t>王政淵</t>
  </si>
  <si>
    <t>104 kg</t>
  </si>
  <si>
    <t>Vietnam</t>
  </si>
  <si>
    <t>CupnCare</t>
  </si>
  <si>
    <t>The 2022 Pacific Rim Coffee Summit,VN02</t>
  </si>
  <si>
    <t>Quang Tri</t>
  </si>
  <si>
    <t>TONG PHUC LAM TRADING SERVICES COMPANY LIMITED</t>
  </si>
  <si>
    <t>CQU2022018</t>
  </si>
  <si>
    <t>October 4th, 2022</t>
  </si>
  <si>
    <t>October 4th, 2023</t>
  </si>
  <si>
    <t>苗55咖啡莊園</t>
  </si>
  <si>
    <t>A37-Northern Taiwan Specialty Coffee Evaluation</t>
  </si>
  <si>
    <t>李鴻儀</t>
  </si>
  <si>
    <t>300 kg</t>
  </si>
  <si>
    <t>unknown</t>
  </si>
  <si>
    <t>Honduras</t>
  </si>
  <si>
    <t>La Cuchilla</t>
  </si>
  <si>
    <t>36</t>
  </si>
  <si>
    <t>Global Coffee</t>
  </si>
  <si>
    <t>Mercon Honduras</t>
  </si>
  <si>
    <t>Centro, Lagunetillas-Ajuterique, Comayagua</t>
  </si>
  <si>
    <t>Jose Nahum Maldonado</t>
  </si>
  <si>
    <t>Instituto Hondureño del Café</t>
  </si>
  <si>
    <t>April 25th, 2023</t>
  </si>
  <si>
    <t>Comercial Internacional de Granos de Honduras SA de CV</t>
  </si>
  <si>
    <t>April 24th, 2024</t>
  </si>
  <si>
    <t>Laboratorio de Control de Calidad de Café ( CNCC), 33 Calle, 1-2 Avenida, Sector El Cacao. San Pedro Sula, Cortes</t>
  </si>
  <si>
    <t>Ramon Reyes - + 504 9693-9042</t>
  </si>
  <si>
    <t>TRACON TRADING PLC</t>
  </si>
  <si>
    <t>0712</t>
  </si>
  <si>
    <t>5.2Ha</t>
  </si>
  <si>
    <t>Tracon Trading PLC</t>
  </si>
  <si>
    <t>August 23rd, 2022</t>
  </si>
  <si>
    <t>李晓斐 LI XIAO FEI</t>
  </si>
  <si>
    <t>August 23rd, 2023</t>
  </si>
  <si>
    <t>917農場 (917 Farm)</t>
  </si>
  <si>
    <t>2021/11</t>
  </si>
  <si>
    <t>玉里鎮Yuli Township</t>
  </si>
  <si>
    <t>黃怡瑄 Huang Yi-xuan</t>
  </si>
  <si>
    <t>黃怡瑄</t>
  </si>
  <si>
    <t>The 2022 Pacific Rim Coffee Summit,T031</t>
  </si>
  <si>
    <t>Finca Alta Luz</t>
  </si>
  <si>
    <t>11-63-657</t>
  </si>
  <si>
    <t>Retrillas del pacifico, s.a.</t>
  </si>
  <si>
    <t>Maria de los Angeles Perez</t>
  </si>
  <si>
    <t>Miranda's Farm</t>
  </si>
  <si>
    <t>Islander’s Coffee for Pacific Rim Summit</t>
  </si>
  <si>
    <t>Greenwell</t>
  </si>
  <si>
    <t>Ka'u district of Big Island</t>
  </si>
  <si>
    <t>Jose &amp; Berta Miranda</t>
  </si>
  <si>
    <t>Bisrat Melaku Washing Station</t>
  </si>
  <si>
    <t>Washing Station</t>
  </si>
  <si>
    <t>Tadesse Desta import export</t>
  </si>
  <si>
    <t>Addis Ababa</t>
  </si>
  <si>
    <t>September 19th, 2022</t>
  </si>
  <si>
    <t>Tadesse Desta</t>
  </si>
  <si>
    <t>September 19th, 2023</t>
  </si>
  <si>
    <t>El Salvador</t>
  </si>
  <si>
    <t>San Nicolas</t>
  </si>
  <si>
    <t>The 2022 Pacific Rim Coffee Summit,SV01</t>
  </si>
  <si>
    <t>Chalatenango</t>
  </si>
  <si>
    <t>various producers</t>
  </si>
  <si>
    <t>Pacamara</t>
  </si>
  <si>
    <t>Asociacion Tayronaca</t>
  </si>
  <si>
    <t>NPCO-17418</t>
  </si>
  <si>
    <t>Trilladora Santa Tirsa</t>
  </si>
  <si>
    <t>Sucafina NA</t>
  </si>
  <si>
    <t>Sierra Nevada de Santa Marta</t>
  </si>
  <si>
    <t>Grupo Tap</t>
  </si>
  <si>
    <t>70 kg</t>
  </si>
  <si>
    <t>ASOCIACIÓN COLOMBIANA PARA LA EXCELENCIA DEL CAFE</t>
  </si>
  <si>
    <t>May 11th, 2022</t>
  </si>
  <si>
    <t>Sucafina Colombia SAS</t>
  </si>
  <si>
    <t>Castillo and Colombia blend</t>
  </si>
  <si>
    <t>May 11th, 2023</t>
  </si>
  <si>
    <t>Calle 60A #3D-32 / Planta Baja / CQ Lab ASECC</t>
  </si>
  <si>
    <t>Carlos Julian Ruiz - 3212026991</t>
  </si>
  <si>
    <t>Lintong Nihuta/Dolok Sanggul,Sumatera Utara</t>
  </si>
  <si>
    <t>Jember,TIM-TIM,Ateng</t>
  </si>
  <si>
    <t>Wet Hulling</t>
  </si>
  <si>
    <t>San jose del lago</t>
  </si>
  <si>
    <t>11/15/96</t>
  </si>
  <si>
    <t>Atitlán</t>
  </si>
  <si>
    <t>Cafetalera Paquim, S.A.</t>
  </si>
  <si>
    <t>Madagascar</t>
  </si>
  <si>
    <t>Mandroso</t>
  </si>
  <si>
    <t>On the farm (mechanical huller and polisher / sorting by hand)</t>
  </si>
  <si>
    <t>Vao Vao Sarl</t>
  </si>
  <si>
    <t>Itasy</t>
  </si>
  <si>
    <t>Marc Dumont</t>
  </si>
  <si>
    <t>8</t>
  </si>
  <si>
    <t>11/441/49</t>
  </si>
  <si>
    <t>竹崙子莊園</t>
  </si>
  <si>
    <t>A32-Northern Taiwan Specialty Coffee Evaluation</t>
  </si>
  <si>
    <t>新北市</t>
  </si>
  <si>
    <t>邱建明</t>
  </si>
  <si>
    <t>110 kg</t>
  </si>
  <si>
    <t>元富咖啡莊園</t>
  </si>
  <si>
    <t>The 2022 Pacific Rim Coffee Summit,T017</t>
  </si>
  <si>
    <t>李泓錡</t>
  </si>
  <si>
    <t>yello-green</t>
  </si>
  <si>
    <t>11/15/51</t>
  </si>
  <si>
    <t>El Trèbol/Lìnea Gourmet</t>
  </si>
  <si>
    <t>Oriente Santa rosa</t>
  </si>
  <si>
    <t>varios productores</t>
  </si>
  <si>
    <t>March 22nd, 2023</t>
  </si>
  <si>
    <t>March 21st, 2024</t>
  </si>
  <si>
    <t>11/15/59</t>
  </si>
  <si>
    <t>El Trebol/Linea Gourmet</t>
  </si>
  <si>
    <t>Sierra de las minas</t>
  </si>
  <si>
    <t>finca de la casa</t>
  </si>
  <si>
    <t>The 2022 Pacific Rim Coffee Summit,HN04</t>
  </si>
  <si>
    <t>De la casa</t>
  </si>
  <si>
    <t>San Andrés, Lempira</t>
  </si>
  <si>
    <t>Irma Consuelo Bonilla Hernandez</t>
  </si>
  <si>
    <t>Kao,SIng-jay</t>
  </si>
  <si>
    <t>KONGONI ESTATE</t>
  </si>
  <si>
    <t>CN 4127230031/P-9139</t>
  </si>
  <si>
    <t>RAFIKI MILL</t>
  </si>
  <si>
    <t>C.DORMAN SEZ LTD</t>
  </si>
  <si>
    <t>ARUSHA</t>
  </si>
  <si>
    <t>DORMAN (T) LTD</t>
  </si>
  <si>
    <t>January 3rd, 2023</t>
  </si>
  <si>
    <t>January 3rd, 2024</t>
  </si>
  <si>
    <t>Ecom Agroindustrial</t>
  </si>
  <si>
    <t>1077</t>
  </si>
  <si>
    <t>Beneficio humedo</t>
  </si>
  <si>
    <t>Descafeinadores Mexicano SA. de CV</t>
  </si>
  <si>
    <t>Sidama</t>
  </si>
  <si>
    <t>Centro Agroecológico del Café A.C.</t>
  </si>
  <si>
    <t>November 18th, 2022</t>
  </si>
  <si>
    <t>Descafeinadores Mexicanos S.A de C.V</t>
  </si>
  <si>
    <t>November 18th, 2023</t>
  </si>
  <si>
    <t>Instituto de Ecología A. C., Campus III Edificio A Planta Baja Carretera Antigua a Coatepec No. 351 Col. El Haya C.P. 91070 Xalapa, Veracruz, México.</t>
  </si>
  <si>
    <t>Stephany Escamilla Femat - Tel. +52 228 8421800 Ext. 3092</t>
  </si>
  <si>
    <t>CN 4127220159/4189220459</t>
  </si>
  <si>
    <t>DORMAN</t>
  </si>
  <si>
    <t>November 21st, 2022</t>
  </si>
  <si>
    <t>November 21st, 2023</t>
  </si>
  <si>
    <t>COO</t>
  </si>
  <si>
    <t>3-002-00883</t>
  </si>
  <si>
    <t>Laumayer Armenia</t>
  </si>
  <si>
    <t>Huila</t>
  </si>
  <si>
    <t>Cooperativa Central de Caficultores del Huila</t>
  </si>
  <si>
    <t>July 27th, 2022</t>
  </si>
  <si>
    <t>July 27th, 2023</t>
  </si>
  <si>
    <t>12077-01</t>
  </si>
  <si>
    <t>El Morito</t>
  </si>
  <si>
    <t>The 2022 Pacific Rim Coffee Summit,GT01</t>
  </si>
  <si>
    <t>Sube</t>
  </si>
  <si>
    <t>New Oriente</t>
  </si>
  <si>
    <t>Various producers</t>
  </si>
  <si>
    <t>11/15/95</t>
  </si>
  <si>
    <t>Baan San Charoen</t>
  </si>
  <si>
    <t>CQU2022016</t>
  </si>
  <si>
    <t>Nan</t>
  </si>
  <si>
    <t>Phaibul Kitcharoen</t>
  </si>
  <si>
    <t>3/37/1370</t>
  </si>
  <si>
    <t>Racafé &amp; CIA S.C.A, Km 5 Vía Pereira</t>
  </si>
  <si>
    <t>Marubeni Corporation</t>
  </si>
  <si>
    <t>Pereira</t>
  </si>
  <si>
    <t>RACAFE &amp; CIA SCA</t>
  </si>
  <si>
    <t>Ikuto Uehara</t>
  </si>
  <si>
    <t>FINCA ALTA LUZ</t>
  </si>
  <si>
    <t>11/63/908</t>
  </si>
  <si>
    <t>RETRILLAS DEL PACIFICO, S. A.</t>
  </si>
  <si>
    <t>HUEHUETENANGO</t>
  </si>
  <si>
    <t>MARIA DE LOS ANGELES PEREZ</t>
  </si>
  <si>
    <t>May 13th, 2022</t>
  </si>
  <si>
    <t>BOURBON, CATURRA Y CATIMOR</t>
  </si>
  <si>
    <t>May 13th, 2023</t>
  </si>
  <si>
    <t>AMNI-22-0905</t>
  </si>
  <si>
    <t>BENEFICIO SANTA RITA, S. A.</t>
  </si>
  <si>
    <t>Asociación Nacional del Cafe</t>
  </si>
  <si>
    <t>Gerbicho Lela Cooperative</t>
  </si>
  <si>
    <t>Sidama Coffee Farmers Cooperative Union</t>
  </si>
  <si>
    <t>Taylor Winch Coffee Ltd</t>
  </si>
  <si>
    <t>September 9th, 2022</t>
  </si>
  <si>
    <t>Taylor Winch (Coffee) Ltd.</t>
  </si>
  <si>
    <t>September 9th, 2023</t>
  </si>
  <si>
    <t>N / A</t>
  </si>
  <si>
    <t>3-0068-00886</t>
  </si>
  <si>
    <t>Trilladora Popayán</t>
  </si>
  <si>
    <t>ECOM COLOMBIA</t>
  </si>
  <si>
    <t>Cauca</t>
  </si>
  <si>
    <t>Regional producers</t>
  </si>
  <si>
    <t>February 22nd, 2023</t>
  </si>
  <si>
    <t>Raúl Vargas</t>
  </si>
  <si>
    <t>February 22nd, 2024</t>
  </si>
  <si>
    <t>various farms</t>
  </si>
  <si>
    <t>The 2022 Pacific Rim Coffee Summit,US02</t>
  </si>
  <si>
    <t>Aloha Hills Kona Coffee</t>
  </si>
  <si>
    <t>Ka'u</t>
  </si>
  <si>
    <t>Isla Custom Coffees</t>
  </si>
  <si>
    <t>La Gallera</t>
  </si>
  <si>
    <t>The 2022 Pacific Rim Coffee Summit,CO02</t>
  </si>
  <si>
    <t>Tolima</t>
  </si>
  <si>
    <t>Oscar Javier Paez &amp; Family</t>
  </si>
  <si>
    <t>Bourbon Sidra</t>
  </si>
  <si>
    <t>Mexico</t>
  </si>
  <si>
    <t>Finca Custepec</t>
  </si>
  <si>
    <t>312</t>
  </si>
  <si>
    <t>exportadora de cafe california</t>
  </si>
  <si>
    <t>Exportadora Café California</t>
  </si>
  <si>
    <t>Chiapas</t>
  </si>
  <si>
    <t>Armando Pohlenz</t>
  </si>
  <si>
    <t>April 5th, 2023</t>
  </si>
  <si>
    <t>ANDREAS KUSSMAUL</t>
  </si>
  <si>
    <t>Sarchimor</t>
  </si>
  <si>
    <t>April 4th, 2024</t>
  </si>
  <si>
    <t>Coffee Quality Institute</t>
  </si>
  <si>
    <t>Barista and Coffee Academy of Asia</t>
  </si>
  <si>
    <t>September 26th, 2022</t>
  </si>
  <si>
    <t>September 26th, 2023</t>
  </si>
  <si>
    <t>The Place Bldg., Tunasan, Muntinlupa City, Metro Manila ​Philippines</t>
  </si>
  <si>
    <t>Rosario Cruz - +63 995 344 5688</t>
  </si>
  <si>
    <t>Yongshun</t>
  </si>
  <si>
    <t>Myanmar</t>
  </si>
  <si>
    <t>Aromatic</t>
  </si>
  <si>
    <t>The 2022 Pacific Rim Coffee Summit,MM01</t>
  </si>
  <si>
    <t>South Shan State</t>
  </si>
  <si>
    <t>Lim</t>
  </si>
  <si>
    <t>Catimor,Catuai,Caturra,Bourbon</t>
  </si>
  <si>
    <t>恆珊農場</t>
  </si>
  <si>
    <t>A05-Northern Taiwan Specialty Coffee Evaluation</t>
  </si>
  <si>
    <t>羅以珊</t>
  </si>
  <si>
    <t>Maria Bonita</t>
  </si>
  <si>
    <t>The 2022 Pacific Rim Coffee Summit,HN01</t>
  </si>
  <si>
    <t>Cafe Organic Marcala, S.A. (COMSA)</t>
  </si>
  <si>
    <t>San Jose, La Paz</t>
  </si>
  <si>
    <t>Pedro Turcios</t>
  </si>
  <si>
    <t>Parainema</t>
  </si>
  <si>
    <t>正源咖啡</t>
  </si>
  <si>
    <t>A30-Northern Taiwan Specialty Coffee Evaluation</t>
  </si>
  <si>
    <t>彭文正</t>
  </si>
  <si>
    <t>宋明光	蝙蝠洞莊園	蝙蝠洞莊園</t>
  </si>
  <si>
    <t>A14-Northern Taiwan Specialty Coffee Evaluation</t>
  </si>
  <si>
    <t>宋明光</t>
  </si>
  <si>
    <t>SAN FRANCISCO COTZAL</t>
  </si>
  <si>
    <t>P-4142</t>
  </si>
  <si>
    <t>INMOBILIARIA E INVERSIONES DOS MIL, S. A.</t>
  </si>
  <si>
    <t>QUICHE</t>
  </si>
  <si>
    <t>varias</t>
  </si>
  <si>
    <t>AMNI-22-6011-1</t>
  </si>
  <si>
    <t>Beneficio seco</t>
  </si>
  <si>
    <t>Cafe Organico Marcala S.A de C.V.</t>
  </si>
  <si>
    <t>Marcala</t>
  </si>
  <si>
    <t>comsa</t>
  </si>
  <si>
    <t>August 17th, 2022</t>
  </si>
  <si>
    <t>Eliud Hernandez Gonzales</t>
  </si>
  <si>
    <t>SHG</t>
  </si>
  <si>
    <t>August 17th, 2023</t>
  </si>
  <si>
    <t>La fortaleza</t>
  </si>
  <si>
    <t>3-0104-00202 Popayán Supremo</t>
  </si>
  <si>
    <t>Trilladora Pubenza</t>
  </si>
  <si>
    <t>Cafe Colsuaves</t>
  </si>
  <si>
    <t>Popayán Cauca</t>
  </si>
  <si>
    <t>January 18th, 2023</t>
  </si>
  <si>
    <t>pablo velosa</t>
  </si>
  <si>
    <t>January 18th, 2024</t>
  </si>
  <si>
    <t>Doi Tung Development Project</t>
  </si>
  <si>
    <t>BOURBON 21/22 (Coffea Arabica)</t>
  </si>
  <si>
    <t>North of Thailand</t>
  </si>
  <si>
    <t>July 14th, 2022</t>
  </si>
  <si>
    <t>July 14th, 2023</t>
  </si>
  <si>
    <t>November 30th, 2022</t>
  </si>
  <si>
    <t>November 30th, 2023</t>
  </si>
  <si>
    <t>Doi Nan</t>
  </si>
  <si>
    <t>CQU2022011</t>
  </si>
  <si>
    <t>Suan Ya Lung</t>
  </si>
  <si>
    <t>Chalerm</t>
  </si>
  <si>
    <t>June 16th, 2022</t>
  </si>
  <si>
    <t>June 16th, 2023</t>
  </si>
  <si>
    <t>Bugisu Shamba</t>
  </si>
  <si>
    <t>035/170/5021210</t>
  </si>
  <si>
    <t>Kawacom</t>
  </si>
  <si>
    <t>Kawacom uganda LTD</t>
  </si>
  <si>
    <t>Mt Elgon</t>
  </si>
  <si>
    <t>Kawacom Uganda Ltd</t>
  </si>
  <si>
    <t>July 7th, 2022</t>
  </si>
  <si>
    <t>Kawacom Uganda LTD</t>
  </si>
  <si>
    <t>July 7th, 2023</t>
  </si>
  <si>
    <t>香香久溢咖啡莊園</t>
  </si>
  <si>
    <t>The 2022 Pacific Rim Coffee Summit,T022</t>
  </si>
  <si>
    <t>吳昭昀</t>
  </si>
  <si>
    <t>40 kg</t>
  </si>
  <si>
    <t>Wu Jhao Yun</t>
  </si>
  <si>
    <t>Typica + SL34</t>
  </si>
  <si>
    <t>Masereka William</t>
  </si>
  <si>
    <t>7969</t>
  </si>
  <si>
    <t>September 1st, 2022</t>
  </si>
  <si>
    <t>September 1st, 2023</t>
  </si>
  <si>
    <t>四分子道</t>
  </si>
  <si>
    <t>A04-Northern Taiwan Specialty Coffee Evaluation</t>
  </si>
  <si>
    <t>林士傑</t>
  </si>
  <si>
    <t>8 kg</t>
  </si>
  <si>
    <t>MI CAFECITO &amp; LA PROVIDENCIA</t>
  </si>
  <si>
    <t>MI CAFECITO + AGUA SANTA LA PROVIDENCIA + AGUA SANTA</t>
  </si>
  <si>
    <t>Mr.Brown Cafe</t>
  </si>
  <si>
    <t>NEW ORIENTE &amp; HUEHUETENANGO</t>
  </si>
  <si>
    <t>500 PRODUCERS</t>
  </si>
  <si>
    <t>MR.BROWN CAFE</t>
  </si>
  <si>
    <t>MARSELLESA, CATUAI, CATURRA &amp; MARSELLESA, ANACAFE 14, CATUAI</t>
  </si>
  <si>
    <t>木華莊園</t>
  </si>
  <si>
    <t>A21-Northern Taiwan Specialty Coffee Evaluation</t>
  </si>
  <si>
    <t>桃園市</t>
  </si>
  <si>
    <t>簡進財</t>
  </si>
  <si>
    <t>El Laurel</t>
  </si>
  <si>
    <t>Hulling facility</t>
  </si>
  <si>
    <t>Minka coffee company LTD</t>
  </si>
  <si>
    <t>Eric SELLIN</t>
  </si>
  <si>
    <t>piradaPKPL</t>
  </si>
  <si>
    <t>12074</t>
  </si>
  <si>
    <t>東泓咖啡莊園</t>
  </si>
  <si>
    <t>The 2022 Pacific Rim Coffee Summit,T019</t>
  </si>
  <si>
    <t>陳善東</t>
  </si>
  <si>
    <t>CHEN SHAN DONG 陳善東</t>
  </si>
  <si>
    <t>TYPICA 21/22 (Coffea Arabica)</t>
  </si>
  <si>
    <t>CN 4127220163/4189220459</t>
  </si>
  <si>
    <t>DORMAN TANZANIA LTD</t>
  </si>
  <si>
    <t>Fazenda Conquista e Capoeirinha</t>
  </si>
  <si>
    <t>004/22</t>
  </si>
  <si>
    <t>Ipanema Coffees</t>
  </si>
  <si>
    <t>Sul de Minas</t>
  </si>
  <si>
    <t>Ipanema Agrícola SA</t>
  </si>
  <si>
    <t>Mundo Novo</t>
  </si>
  <si>
    <t>棒棒有機農場</t>
  </si>
  <si>
    <t>A41-Northern Taiwan Specialty Coffee Evaluation</t>
  </si>
  <si>
    <t>林木青</t>
  </si>
  <si>
    <t>320 kg</t>
  </si>
  <si>
    <t>Buenos Aires</t>
  </si>
  <si>
    <t>CQU2023003</t>
  </si>
  <si>
    <t>Chucho Bedoya</t>
  </si>
  <si>
    <t>12 kg</t>
  </si>
  <si>
    <t>Red Bourbon,Caturra</t>
  </si>
  <si>
    <t>Anaerobico 1000h</t>
  </si>
  <si>
    <t>La Bendicion</t>
  </si>
  <si>
    <t>The 2022 Pacific Rim Coffee Summit,HN03</t>
  </si>
  <si>
    <t>COMSA (Cafe Organic Marcala, S.A)</t>
  </si>
  <si>
    <t>Marcala, La Paz</t>
  </si>
  <si>
    <t>Joaquin Suazo</t>
  </si>
  <si>
    <t>Lempira</t>
  </si>
  <si>
    <t>AMNI-22-6011-2</t>
  </si>
  <si>
    <t>蜜多莊園</t>
  </si>
  <si>
    <t>A35-Northern Taiwan Specialty Coffee Evaluation</t>
  </si>
  <si>
    <t>張新榮</t>
  </si>
  <si>
    <t>迎曦山丘</t>
  </si>
  <si>
    <t>A20-Northern Taiwan Specialty Coffee Evaluation</t>
  </si>
  <si>
    <t>翁召安</t>
  </si>
  <si>
    <t>Nongluang Bolaven Plateau</t>
  </si>
  <si>
    <t>DCN03.11.2022</t>
  </si>
  <si>
    <t>Dao Heuang Group</t>
  </si>
  <si>
    <t>Nongluang Bolaven Plateau, Champasack, Lao PDR</t>
  </si>
  <si>
    <t>Specialty Coffee Association of Indonesia</t>
  </si>
  <si>
    <t>Ministry of Agriculture Republic Indonesia, Build C 5th Floor wing B Room 515 . Jl. Harsono RM No. 3, Ragunan, South Jakarta, Jakarta</t>
  </si>
  <si>
    <t>Mr. Michael Utama or Mr. Andi Fachri - 081382657727 / 087789140881</t>
  </si>
  <si>
    <t>187</t>
  </si>
  <si>
    <t>CIGRAH</t>
  </si>
  <si>
    <t>Centro, Lagunetillas - Ajuterique, Comayagua</t>
  </si>
  <si>
    <t>Fausto Nahun Maldonado</t>
  </si>
  <si>
    <t>May 23rd, 2022</t>
  </si>
  <si>
    <t>May 23rd, 2023</t>
  </si>
  <si>
    <t>Bethel</t>
  </si>
  <si>
    <t>198</t>
  </si>
  <si>
    <t>CADEXSA</t>
  </si>
  <si>
    <t>Los Planes de Santa Maria, La Paz</t>
  </si>
  <si>
    <t>Omar Acosta</t>
  </si>
  <si>
    <t>EL PRADO</t>
  </si>
  <si>
    <t>3-59-0654</t>
  </si>
  <si>
    <t>NEIVA</t>
  </si>
  <si>
    <t>carcafe ltda</t>
  </si>
  <si>
    <t>HUILA</t>
  </si>
  <si>
    <t>FRANKLIN DUSSAN</t>
  </si>
  <si>
    <t>January 13th, 2023</t>
  </si>
  <si>
    <t>rodrigo amaya</t>
  </si>
  <si>
    <t>January 13th, 2024</t>
  </si>
  <si>
    <t>樹橋窩莊園</t>
  </si>
  <si>
    <t>A17-Northern Taiwan Specialty Coffee Evaluation</t>
  </si>
  <si>
    <t>王維書</t>
  </si>
  <si>
    <t>Finca Tequihua</t>
  </si>
  <si>
    <t>001</t>
  </si>
  <si>
    <t>Coatepec, Veracruz</t>
  </si>
  <si>
    <t>La Villa Coffee Company LLC</t>
  </si>
  <si>
    <t>ZONGOLICA, VERACRUZ</t>
  </si>
  <si>
    <t>Martin Tequihuatle Zepahua</t>
  </si>
  <si>
    <t>August 11th, 2022</t>
  </si>
  <si>
    <t>Alvin La Vaughn Landry</t>
  </si>
  <si>
    <t>August 11th, 2023</t>
  </si>
  <si>
    <t>La Argentina</t>
  </si>
  <si>
    <t>CQU2022013</t>
  </si>
  <si>
    <t>Augusto Torres</t>
  </si>
  <si>
    <t>Typica Gesha</t>
  </si>
  <si>
    <t>郭亮志</t>
  </si>
  <si>
    <t>郭亮志 GuoLiangZhi</t>
  </si>
  <si>
    <t>Varias</t>
  </si>
  <si>
    <t>273</t>
  </si>
  <si>
    <t>Beneficio Seco Comsa</t>
  </si>
  <si>
    <t>Varios</t>
  </si>
  <si>
    <t>April 24th, 2023</t>
  </si>
  <si>
    <t>April 23rd, 2024</t>
  </si>
  <si>
    <t>GAYO 21/22 (Coffea Arabica)</t>
  </si>
  <si>
    <t>Gayo</t>
  </si>
  <si>
    <t>Ea tan Cooperative</t>
  </si>
  <si>
    <t>VHA- S3</t>
  </si>
  <si>
    <t>SIMEXCO DAKLAK LTD</t>
  </si>
  <si>
    <t>Eatan Commune, Krong Nang District, Krong Nang Province</t>
  </si>
  <si>
    <t>Ea Tan Cooperative</t>
  </si>
  <si>
    <t>June 3rd, 2022</t>
  </si>
  <si>
    <t>Simexco DakLak</t>
  </si>
  <si>
    <t>June 3rd, 2023</t>
  </si>
  <si>
    <t>Finca San Felipe</t>
  </si>
  <si>
    <t>017-053-0017</t>
  </si>
  <si>
    <t>Beneficio Atlantic Sébaco</t>
  </si>
  <si>
    <t>Exportadora Atlantic S.A</t>
  </si>
  <si>
    <t>Matagalpa</t>
  </si>
  <si>
    <t>Exportadora Atlantic S.A.</t>
  </si>
  <si>
    <t>Asociación de Cafés Especiales de Nicaragua</t>
  </si>
  <si>
    <t>January 30th, 2023</t>
  </si>
  <si>
    <t>Exportadora Atlantic, S.A.</t>
  </si>
  <si>
    <t>January 30th, 2024</t>
  </si>
  <si>
    <t>Del Hotel Seminole 2 C al lago, 1 C arriba.</t>
  </si>
  <si>
    <t>Maria Ines Benavidez Toval - 011-(505)-8396 4717</t>
  </si>
  <si>
    <t>AMA EL AROMA Micro lot - Sunrise</t>
  </si>
  <si>
    <t>The 2022 Pacific Rim Coffee Summit,CR01</t>
  </si>
  <si>
    <t>Micro mill</t>
  </si>
  <si>
    <t>west Villege</t>
  </si>
  <si>
    <t>Federación Nacional de Cafeteros de Colombia</t>
  </si>
  <si>
    <t>3/01/12857</t>
  </si>
  <si>
    <t>NIPPON COFFEE TRADING CO.,LTD.</t>
  </si>
  <si>
    <t>July 11th, 2022</t>
  </si>
  <si>
    <t>Yukinobu Ueda</t>
  </si>
  <si>
    <t>July 11th, 2023</t>
  </si>
  <si>
    <t>CATURRA 21/22 (Coffea Arabica)</t>
  </si>
  <si>
    <t>Kevin Coffee</t>
  </si>
  <si>
    <t>21/22</t>
  </si>
  <si>
    <t>Square Root</t>
  </si>
  <si>
    <t>Kevin Wattana</t>
  </si>
  <si>
    <t>Specialty Coffee Institute of Thailand</t>
  </si>
  <si>
    <t>June 14th, 2022</t>
  </si>
  <si>
    <t>Sajcha tawaytibhong</t>
  </si>
  <si>
    <t>Bourbon, Catimor, Caturra, Typica</t>
  </si>
  <si>
    <t>June 14th, 2023</t>
  </si>
  <si>
    <t>No.76-82 Satri Wittaya 2 Soi 6, Ladplao, Bangkok 10230 Thailand</t>
  </si>
  <si>
    <t>Rinlapat Siwachairot - +66 2 118 0811, +66 926462492</t>
  </si>
  <si>
    <t>197</t>
  </si>
  <si>
    <t>los planes de santa maria la paz</t>
  </si>
  <si>
    <t>銅鏡莊園</t>
  </si>
  <si>
    <t>A01-Northern Taiwan Specialty Coffee Evaluation</t>
  </si>
  <si>
    <t>吳聲發</t>
  </si>
  <si>
    <t>unknow</t>
  </si>
  <si>
    <t>掬香園</t>
  </si>
  <si>
    <t>A22-Northern Taiwan Specialty Coffee Evaluation</t>
  </si>
  <si>
    <t>謝櫞楨</t>
  </si>
  <si>
    <t>32 kg</t>
  </si>
  <si>
    <t>4 -3.1</t>
  </si>
  <si>
    <t>June 20th, 2022</t>
  </si>
  <si>
    <t>June 20th, 2023</t>
  </si>
  <si>
    <t>Agua Caliente</t>
  </si>
  <si>
    <t>1-26</t>
  </si>
  <si>
    <t>Consejo Salvadoreño del Café</t>
  </si>
  <si>
    <t>Apaneca - Ilamatepec</t>
  </si>
  <si>
    <t>J.J. Borja Nathan, S.A.</t>
  </si>
  <si>
    <t>Salvadoran Coffee Council</t>
  </si>
  <si>
    <t>March 3rd, 2023</t>
  </si>
  <si>
    <t>March 2nd, 2024</t>
  </si>
  <si>
    <t>Final 1a. Av. Norte y 13 Calle Pte., dentro de las instalaciones del MAG</t>
  </si>
  <si>
    <t>Tomas Bonilla - (503) 2505-6600</t>
  </si>
  <si>
    <t>Finca Lerida</t>
  </si>
  <si>
    <t>P03769</t>
  </si>
  <si>
    <t>May 25th, 2022</t>
  </si>
  <si>
    <t>May 25th, 2023</t>
  </si>
  <si>
    <t>Fazenda Pedra Preta</t>
  </si>
  <si>
    <t>MVB-QCert-001/2022</t>
  </si>
  <si>
    <t>COPAG VARGINHA</t>
  </si>
  <si>
    <t>Man Volcafe Brasil Ltda.</t>
  </si>
  <si>
    <t>MANTIQUEIRA / SUL DE MINAS</t>
  </si>
  <si>
    <t>Eduardo Niero de Souza</t>
  </si>
  <si>
    <t>November 3rd, 2022</t>
  </si>
  <si>
    <t>ED&amp;F Man Volcafe Brasil Ltda.</t>
  </si>
  <si>
    <t>November 3rd, 2023</t>
  </si>
  <si>
    <t>Kainaliu Farm</t>
  </si>
  <si>
    <t>The 2022 Pacific Rim Coffee Summit,US03</t>
  </si>
  <si>
    <t>Kainaliu-Kona Coffee Company</t>
  </si>
  <si>
    <t>Maragogype</t>
  </si>
  <si>
    <t>Las Trincheras</t>
  </si>
  <si>
    <t>The 2022 Pacific Rim Coffee Summit,MX01</t>
  </si>
  <si>
    <t>Veracruz</t>
  </si>
  <si>
    <t>Jose Cienfuegos</t>
  </si>
  <si>
    <t>185</t>
  </si>
  <si>
    <t>弘欣咖啡園</t>
  </si>
  <si>
    <t>A02-Northern Taiwan Specialty Coffee Evaluation</t>
  </si>
  <si>
    <t>胡明杰</t>
  </si>
  <si>
    <t>200 kg</t>
  </si>
  <si>
    <t>Finca Aurora</t>
  </si>
  <si>
    <t>Beneficio Seco Finca Aurora</t>
  </si>
  <si>
    <t>Matagalpa, Nicaragua</t>
  </si>
  <si>
    <t>Sabio Coffee - Enrique Ferrufino &amp; Tania Ferrufino</t>
  </si>
  <si>
    <t>Caturra-Catuai</t>
  </si>
  <si>
    <t>Apollo Estate</t>
  </si>
  <si>
    <t>Apollo Washed 2021</t>
  </si>
  <si>
    <t>Sunvirtue Co., Ltd.</t>
  </si>
  <si>
    <t>Dalat</t>
  </si>
  <si>
    <t>Yeh,Li Chuan</t>
  </si>
  <si>
    <t>June 1st, 2022</t>
  </si>
  <si>
    <t>June 1st, 2023</t>
  </si>
  <si>
    <t>February 21st, 2023</t>
  </si>
  <si>
    <t>February 21st, 2024</t>
  </si>
  <si>
    <t>1-74</t>
  </si>
  <si>
    <t>寶山謐靚</t>
  </si>
  <si>
    <t>A48-Northern Taiwan Specialty Coffee Evaluation</t>
  </si>
  <si>
    <t>宋煦仁</t>
  </si>
  <si>
    <t>Fundo La Libertado</t>
  </si>
  <si>
    <t>PR138</t>
  </si>
  <si>
    <t>Planta Callao</t>
  </si>
  <si>
    <t>Itochu Corporation</t>
  </si>
  <si>
    <t>Chanchamayo, La Merced</t>
  </si>
  <si>
    <t>Sand Crispin Espiritu</t>
  </si>
  <si>
    <t>Kiichiro Iwata</t>
  </si>
  <si>
    <t>Manny's Farm</t>
  </si>
  <si>
    <t>Kona district of Big Island</t>
  </si>
  <si>
    <t>Manny Ochoa</t>
  </si>
  <si>
    <t>Kenyan Highlands</t>
  </si>
  <si>
    <t>CQU2023004</t>
  </si>
  <si>
    <t>TAYLOR WINCH</t>
  </si>
  <si>
    <t>Kericho</t>
  </si>
  <si>
    <t>Slelected small holder</t>
  </si>
  <si>
    <t>SL28,SL34,Ruiru11</t>
  </si>
  <si>
    <t>184</t>
  </si>
  <si>
    <t>金暖農場</t>
  </si>
  <si>
    <t>A43-Northern Taiwan Specialty Coffee Evaluation</t>
  </si>
  <si>
    <t>何育達</t>
  </si>
  <si>
    <t>3 kg</t>
  </si>
  <si>
    <t>好客農埸</t>
  </si>
  <si>
    <t>A34-Northern Taiwan Specialty Coffee Evaluation</t>
  </si>
  <si>
    <t>彭聰明</t>
  </si>
  <si>
    <t>拉拉山祖嵐咖啡莊園</t>
  </si>
  <si>
    <t>A50-Northern Taiwan Specialty Coffee Evaluation</t>
  </si>
  <si>
    <t>宗素霞</t>
  </si>
  <si>
    <t>MIXED DT 21/22 (Coffea Arabica)</t>
  </si>
  <si>
    <t>San Diego Mill</t>
  </si>
  <si>
    <t>S019194 - P04178</t>
  </si>
  <si>
    <t>Dosmil</t>
  </si>
  <si>
    <t>Beneficios Volcafé Costa Rica</t>
  </si>
  <si>
    <t>Corralillo Tarrazu</t>
  </si>
  <si>
    <t>2018 / 2019</t>
  </si>
  <si>
    <t>March 29th, 2023</t>
  </si>
  <si>
    <t>Volcafe Japan</t>
  </si>
  <si>
    <t>March 28th, 2024</t>
  </si>
  <si>
    <t>Not Specificated</t>
  </si>
  <si>
    <t>SA4238</t>
  </si>
  <si>
    <t>Dry Mill of Exportcafe</t>
  </si>
  <si>
    <t>Oriente</t>
  </si>
  <si>
    <t>Exportcafe, S.A.</t>
  </si>
  <si>
    <t>November 28th, 2022</t>
  </si>
  <si>
    <t>November 28th, 2023</t>
  </si>
  <si>
    <t>Wahana Graha Makmur</t>
  </si>
  <si>
    <t>015/1686/057</t>
  </si>
  <si>
    <t>PT. Wahana Graha Makmur Medan</t>
  </si>
  <si>
    <t>Sumatra</t>
  </si>
  <si>
    <t>PT. Wahana Graha Makmur Group</t>
  </si>
  <si>
    <t>August 22nd, 2022</t>
  </si>
  <si>
    <t>August 22nd, 2023</t>
  </si>
  <si>
    <t>Fundo La Libertad</t>
  </si>
  <si>
    <t>301R</t>
  </si>
  <si>
    <t>Sandro Crispin Espiritu</t>
  </si>
  <si>
    <t>MULTIPLE SMALLHOLDER FARMS</t>
  </si>
  <si>
    <t>GF-23392</t>
  </si>
  <si>
    <t>HARU International Corp, 守成咖啡</t>
  </si>
  <si>
    <t>La Minita</t>
  </si>
  <si>
    <t>Anderson Wong</t>
  </si>
  <si>
    <t>阿拉思家</t>
  </si>
  <si>
    <t>A10-Northern Taiwan Specialty Coffee Evaluation</t>
  </si>
  <si>
    <t>李秀圓</t>
  </si>
  <si>
    <t>6 kg</t>
  </si>
  <si>
    <t>Gaia Farms</t>
  </si>
  <si>
    <t>221221</t>
  </si>
  <si>
    <t>Hulling Facility</t>
  </si>
  <si>
    <t>Brew Baby Coffee Company</t>
  </si>
  <si>
    <t>Lam Dong Province</t>
  </si>
  <si>
    <t>Viet Coffee Company Limited</t>
  </si>
  <si>
    <t>Firedancer Coffee Consultants</t>
  </si>
  <si>
    <t>April 10th, 2023</t>
  </si>
  <si>
    <t>Rodney Murray</t>
  </si>
  <si>
    <t>April 9th, 2024</t>
  </si>
  <si>
    <t>165 Commerce Drive, Ste 103</t>
  </si>
  <si>
    <t>Firedancer Coffee Consultants -</t>
  </si>
  <si>
    <t>Sitio Colinas</t>
  </si>
  <si>
    <t>CQU2023007</t>
  </si>
  <si>
    <t>COCARIVE</t>
  </si>
  <si>
    <t>Mantiquira de minas</t>
  </si>
  <si>
    <t>Luis Flavio Pereira de Castro</t>
  </si>
  <si>
    <t>Yellow Catuai</t>
  </si>
  <si>
    <t>Fazenda Olhos Dagua</t>
  </si>
  <si>
    <t>Owned by producer</t>
  </si>
  <si>
    <t>Paulo Enidio Crabi</t>
  </si>
  <si>
    <t>59 kg</t>
  </si>
  <si>
    <t>Catucai</t>
  </si>
  <si>
    <t>More than one</t>
  </si>
  <si>
    <t>Trilladora CCA Buga</t>
  </si>
  <si>
    <t>Santander</t>
  </si>
  <si>
    <t>Finca San José</t>
  </si>
  <si>
    <t>002</t>
  </si>
  <si>
    <t>José Gerardo Gutierrez Morales</t>
  </si>
  <si>
    <t>HACIENDA SAN IGNACIO</t>
  </si>
  <si>
    <t>OIC 5-019-0037/ Contenedor: DRYU3106597 / Cliente: O COFFEE</t>
  </si>
  <si>
    <t>Beneficio La Giorgia</t>
  </si>
  <si>
    <t>Grupo ECOM</t>
  </si>
  <si>
    <t>occidente</t>
  </si>
  <si>
    <t>FJO ORLICH HNO LTDA</t>
  </si>
  <si>
    <t>Ruddy Azofeifa</t>
  </si>
  <si>
    <t>橫鹿</t>
  </si>
  <si>
    <t>A46-Northern Taiwan Specialty Coffee Evaluation</t>
  </si>
  <si>
    <t>呂星輝</t>
  </si>
  <si>
    <t>大屯29莊園</t>
  </si>
  <si>
    <t>A38-Northern Taiwan Specialty Coffee Evaluation</t>
  </si>
  <si>
    <t>臺北市</t>
  </si>
  <si>
    <t>侯奕瑋</t>
  </si>
  <si>
    <t>JAVA 21/22 (Coffea Arabica)</t>
  </si>
  <si>
    <t>Doi Lan</t>
  </si>
  <si>
    <t>The 2022 Pacific Rim Coffee Summit,TH07</t>
  </si>
  <si>
    <t>Miramar Coffee</t>
  </si>
  <si>
    <t>Chiang Rai</t>
  </si>
  <si>
    <t>Prakol Saelee</t>
  </si>
  <si>
    <t>Typica Bourbon Caturra Catimor</t>
  </si>
  <si>
    <t>MIXED 21/22 (Coffea Arabica)</t>
  </si>
  <si>
    <t>Escalera</t>
  </si>
  <si>
    <t>CQU2022019</t>
  </si>
  <si>
    <t>December 22nd, 2022</t>
  </si>
  <si>
    <t>Caturra,Colombia,Castillo</t>
  </si>
  <si>
    <t>December 22nd, 2023</t>
  </si>
  <si>
    <t>Various farm</t>
  </si>
  <si>
    <t>0038</t>
  </si>
  <si>
    <t>Dry Mill of Cocapil</t>
  </si>
  <si>
    <t>Alta Mogiana-Ibiraci</t>
  </si>
  <si>
    <t>Cocapil</t>
  </si>
  <si>
    <t>Rosario de Maria II, Area de Loma Alta</t>
  </si>
  <si>
    <t>0623C01</t>
  </si>
  <si>
    <t>Optimum Coffee, San Salvador, El Salvador</t>
  </si>
  <si>
    <t>Aprentium Enterprises LLC</t>
  </si>
  <si>
    <t>Volcan Chinchontepek, San Vicente, El Salvador</t>
  </si>
  <si>
    <t>Roselia Yglesias</t>
  </si>
  <si>
    <t>2023</t>
  </si>
  <si>
    <t>March 8th, 2023</t>
  </si>
  <si>
    <t>March 7th, 2024</t>
  </si>
  <si>
    <t>EXPORTADORA ATLANTIC S.A</t>
  </si>
  <si>
    <t>017/053/0603</t>
  </si>
  <si>
    <t>Lavado</t>
  </si>
  <si>
    <t>ISHIMITSU</t>
  </si>
  <si>
    <t>丸山花織</t>
  </si>
  <si>
    <t>Sajonia Estate Coffee S.A.</t>
  </si>
  <si>
    <t>SAJONIA ESTATE COFFEE S.A.</t>
  </si>
  <si>
    <t>Jinotega</t>
  </si>
  <si>
    <t>April 20th, 2023</t>
  </si>
  <si>
    <t>April 19th, 2024</t>
  </si>
  <si>
    <t>Finca Mallorca</t>
  </si>
  <si>
    <t>CQU2023001</t>
  </si>
  <si>
    <t>Caicedonia,Valle del Cauca</t>
  </si>
  <si>
    <t>Castillo,Caturra,Bourbon</t>
  </si>
  <si>
    <t>PR137</t>
  </si>
  <si>
    <t>Callao Plant</t>
  </si>
  <si>
    <t>Chanchamayo, Lamerced</t>
  </si>
  <si>
    <t>June 10th, 2022</t>
  </si>
  <si>
    <t>June 10th, 2023</t>
  </si>
  <si>
    <t>Rosario de Maria II, Area de Menjivar</t>
  </si>
  <si>
    <t>0523B01</t>
  </si>
  <si>
    <t>Pacas</t>
  </si>
  <si>
    <t>002/1738/0029</t>
  </si>
  <si>
    <t>marubeni</t>
  </si>
  <si>
    <t>COCAPIL</t>
  </si>
  <si>
    <t>July 20th, 2022</t>
  </si>
  <si>
    <t>Catuai and Mundo Novo</t>
  </si>
  <si>
    <t>July 20th, 2023</t>
  </si>
  <si>
    <t>Fazenda Conquista</t>
  </si>
  <si>
    <t>019/22</t>
  </si>
  <si>
    <t>February 2nd, 2023</t>
  </si>
  <si>
    <t>February 2nd, 2024</t>
  </si>
  <si>
    <t>017-053-0155</t>
  </si>
  <si>
    <t>-</t>
  </si>
  <si>
    <t>105/3/VL7285-005</t>
  </si>
  <si>
    <t>DRY MILL</t>
  </si>
  <si>
    <t>Bolaven Plateau</t>
  </si>
  <si>
    <t>LAO MINH TIEN COFFEE SOLE CO.,LTD</t>
  </si>
  <si>
    <t>November 11th, 2022</t>
  </si>
  <si>
    <t>November 11th, 2023</t>
  </si>
  <si>
    <t>Rosario de Maria II, Area de La Pila</t>
  </si>
  <si>
    <t>0423A01</t>
  </si>
  <si>
    <t>Volcan de San Vicente, La Paz, El Salvador</t>
  </si>
  <si>
    <t>Walter Matter</t>
  </si>
  <si>
    <t>1058 y 1059</t>
  </si>
  <si>
    <t>Beneficio humedo/seco</t>
  </si>
  <si>
    <t>Minas Gerais</t>
  </si>
  <si>
    <t>SEMI-LAVADO</t>
  </si>
  <si>
    <t>Altitud_Limpia</t>
  </si>
  <si>
    <t>Columna1</t>
  </si>
  <si>
    <t>Etiquetas de fila</t>
  </si>
  <si>
    <t>Promedio_TotalCup</t>
  </si>
  <si>
    <t>Muestras</t>
  </si>
  <si>
    <t>Promedio de Promedio_TotalCup</t>
  </si>
  <si>
    <t>Cuenta de Muestras</t>
  </si>
  <si>
    <t>Ranking</t>
  </si>
  <si>
    <t>Pais</t>
  </si>
  <si>
    <t>Promedio_Cup</t>
  </si>
  <si>
    <t>TOP 3 MEJORES CALIFICADOS</t>
  </si>
  <si>
    <t>PUNTUACION MAS BAJA</t>
  </si>
  <si>
    <t>COMPARACION DE ATRIBUTOS</t>
  </si>
  <si>
    <t>AROMA</t>
  </si>
  <si>
    <t xml:space="preserve">SABOR </t>
  </si>
  <si>
    <t>BALANCE</t>
  </si>
  <si>
    <t>Promedio de Aroma</t>
  </si>
  <si>
    <t>Promedio de Flavor</t>
  </si>
  <si>
    <t>Promedio de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</si>
</sst>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0" fillId="0" borderId="0" xfId="0" applyBorder="1"/>
    <xf numFmtId="0" fontId="0" fillId="0" borderId="0" xfId="0" applyFont="1" applyAlignment="1">
      <alignment horizontal="center"/>
    </xf>
    <xf numFmtId="0" fontId="0" fillId="0" borderId="0" xfId="0" applyFont="1"/>
    <xf numFmtId="2" fontId="0" fillId="0" borderId="0" xfId="0" applyNumberFormat="1" applyFont="1"/>
    <xf numFmtId="1" fontId="0" fillId="0" borderId="0" xfId="0" applyNumberFormat="1" applyFont="1"/>
    <xf numFmtId="0" fontId="0" fillId="3" borderId="1" xfId="0" applyFont="1" applyFill="1" applyBorder="1"/>
    <xf numFmtId="0" fontId="0" fillId="3" borderId="2" xfId="0" applyFont="1" applyFill="1" applyBorder="1"/>
    <xf numFmtId="0" fontId="0" fillId="0" borderId="1" xfId="0" applyFont="1" applyBorder="1"/>
    <xf numFmtId="0" fontId="0" fillId="0" borderId="2" xfId="0" applyFont="1" applyBorder="1"/>
    <xf numFmtId="0" fontId="2" fillId="2" borderId="2"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2" fontId="0" fillId="3" borderId="2" xfId="0" applyNumberFormat="1" applyFont="1" applyFill="1" applyBorder="1"/>
    <xf numFmtId="1" fontId="0" fillId="3" borderId="3" xfId="0" applyNumberFormat="1" applyFont="1" applyFill="1" applyBorder="1"/>
    <xf numFmtId="2" fontId="0" fillId="0" borderId="2" xfId="0" applyNumberFormat="1" applyFont="1" applyBorder="1"/>
    <xf numFmtId="1" fontId="0" fillId="0" borderId="3" xfId="0" applyNumberFormat="1" applyFont="1" applyBorder="1"/>
    <xf numFmtId="2" fontId="0" fillId="3" borderId="1" xfId="0" applyNumberFormat="1" applyFont="1" applyFill="1" applyBorder="1"/>
    <xf numFmtId="0" fontId="0" fillId="0" borderId="0" xfId="0" applyAlignment="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35">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2" formatCode="0.00"/>
    </dxf>
    <dxf>
      <numFmt numFmtId="2" formatCode="0.00"/>
    </dxf>
    <dxf>
      <numFmt numFmtId="2" formatCode="0.00"/>
    </dxf>
    <dxf>
      <numFmt numFmtId="2" formatCode="0.00"/>
    </dxf>
    <dxf>
      <numFmt numFmtId="1" formatCode="0"/>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[Dashboard_Cafe.xlsx]Tablas_Dinamicas !Mejores_Cafes_LATAM</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068105686603779E-2"/>
          <c:y val="8.007681146386926E-2"/>
          <c:w val="0.81257049578017215"/>
          <c:h val="0.80831917973812895"/>
        </c:manualLayout>
      </c:layout>
      <c:barChart>
        <c:barDir val="col"/>
        <c:grouping val="clustered"/>
        <c:varyColors val="0"/>
        <c:ser>
          <c:idx val="0"/>
          <c:order val="0"/>
          <c:tx>
            <c:strRef>
              <c:f>'Tablas_Dinamicas '!$C$3</c:f>
              <c:strCache>
                <c:ptCount val="1"/>
                <c:pt idx="0">
                  <c:v>Promedio de Promedio_TotalCup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 '!$B$4:$B$13</c:f>
              <c:strCache>
                <c:ptCount val="10"/>
                <c:pt idx="0">
                  <c:v>Guatemala</c:v>
                </c:pt>
                <c:pt idx="1">
                  <c:v>Colombia</c:v>
                </c:pt>
                <c:pt idx="2">
                  <c:v>Honduras</c:v>
                </c:pt>
                <c:pt idx="3">
                  <c:v>Brazil</c:v>
                </c:pt>
                <c:pt idx="4">
                  <c:v>Costa Rica</c:v>
                </c:pt>
                <c:pt idx="5">
                  <c:v>Nicaragua</c:v>
                </c:pt>
                <c:pt idx="6">
                  <c:v>El Salvador</c:v>
                </c:pt>
                <c:pt idx="7">
                  <c:v>Peru</c:v>
                </c:pt>
                <c:pt idx="8">
                  <c:v>Mexico</c:v>
                </c:pt>
                <c:pt idx="9">
                  <c:v>Panama</c:v>
                </c:pt>
              </c:strCache>
            </c:strRef>
          </c:cat>
          <c:val>
            <c:numRef>
              <c:f>'Tablas_Dinamicas '!$C$4:$C$13</c:f>
              <c:numCache>
                <c:formatCode>0.00</c:formatCode>
                <c:ptCount val="10"/>
                <c:pt idx="0">
                  <c:v>84.301428571428531</c:v>
                </c:pt>
                <c:pt idx="1">
                  <c:v>83.877368421052623</c:v>
                </c:pt>
                <c:pt idx="2">
                  <c:v>83.282307692307683</c:v>
                </c:pt>
                <c:pt idx="3">
                  <c:v>81.88300000000001</c:v>
                </c:pt>
                <c:pt idx="4">
                  <c:v>83.740000000000009</c:v>
                </c:pt>
                <c:pt idx="5">
                  <c:v>81.892857142857125</c:v>
                </c:pt>
                <c:pt idx="6">
                  <c:v>81.532857142857111</c:v>
                </c:pt>
                <c:pt idx="7">
                  <c:v>82.332499999999996</c:v>
                </c:pt>
                <c:pt idx="8">
                  <c:v>82.710000000000008</c:v>
                </c:pt>
                <c:pt idx="9">
                  <c:v>83.625</c:v>
                </c:pt>
              </c:numCache>
            </c:numRef>
          </c:val>
          <c:extLst>
            <c:ext xmlns:c16="http://schemas.microsoft.com/office/drawing/2014/chart" uri="{C3380CC4-5D6E-409C-BE32-E72D297353CC}">
              <c16:uniqueId val="{00000000-1EA3-4683-A16A-15E1502779BB}"/>
            </c:ext>
          </c:extLst>
        </c:ser>
        <c:ser>
          <c:idx val="1"/>
          <c:order val="1"/>
          <c:tx>
            <c:strRef>
              <c:f>'Tablas_Dinamicas '!$D$3</c:f>
              <c:strCache>
                <c:ptCount val="1"/>
                <c:pt idx="0">
                  <c:v>Cuenta de Muestras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 '!$B$4:$B$13</c:f>
              <c:strCache>
                <c:ptCount val="10"/>
                <c:pt idx="0">
                  <c:v>Guatemala</c:v>
                </c:pt>
                <c:pt idx="1">
                  <c:v>Colombia</c:v>
                </c:pt>
                <c:pt idx="2">
                  <c:v>Honduras</c:v>
                </c:pt>
                <c:pt idx="3">
                  <c:v>Brazil</c:v>
                </c:pt>
                <c:pt idx="4">
                  <c:v>Costa Rica</c:v>
                </c:pt>
                <c:pt idx="5">
                  <c:v>Nicaragua</c:v>
                </c:pt>
                <c:pt idx="6">
                  <c:v>El Salvador</c:v>
                </c:pt>
                <c:pt idx="7">
                  <c:v>Peru</c:v>
                </c:pt>
                <c:pt idx="8">
                  <c:v>Mexico</c:v>
                </c:pt>
                <c:pt idx="9">
                  <c:v>Panama</c:v>
                </c:pt>
              </c:strCache>
            </c:strRef>
          </c:cat>
          <c:val>
            <c:numRef>
              <c:f>'Tablas_Dinamicas '!$D$4:$D$13</c:f>
              <c:numCache>
                <c:formatCode>0</c:formatCode>
                <c:ptCount val="10"/>
                <c:pt idx="0">
                  <c:v>21</c:v>
                </c:pt>
                <c:pt idx="1">
                  <c:v>19</c:v>
                </c:pt>
                <c:pt idx="2">
                  <c:v>13</c:v>
                </c:pt>
                <c:pt idx="3">
                  <c:v>10</c:v>
                </c:pt>
                <c:pt idx="4">
                  <c:v>8</c:v>
                </c:pt>
                <c:pt idx="5">
                  <c:v>7</c:v>
                </c:pt>
                <c:pt idx="6">
                  <c:v>7</c:v>
                </c:pt>
                <c:pt idx="7">
                  <c:v>4</c:v>
                </c:pt>
                <c:pt idx="8">
                  <c:v>4</c:v>
                </c:pt>
                <c:pt idx="9">
                  <c:v>2</c:v>
                </c:pt>
              </c:numCache>
            </c:numRef>
          </c:val>
          <c:extLst>
            <c:ext xmlns:c16="http://schemas.microsoft.com/office/drawing/2014/chart" uri="{C3380CC4-5D6E-409C-BE32-E72D297353CC}">
              <c16:uniqueId val="{00000005-1EA3-4683-A16A-15E1502779BB}"/>
            </c:ext>
          </c:extLst>
        </c:ser>
        <c:dLbls>
          <c:showLegendKey val="0"/>
          <c:showVal val="0"/>
          <c:showCatName val="0"/>
          <c:showSerName val="0"/>
          <c:showPercent val="0"/>
          <c:showBubbleSize val="0"/>
        </c:dLbls>
        <c:gapWidth val="219"/>
        <c:overlap val="-27"/>
        <c:axId val="1120437504"/>
        <c:axId val="1120442784"/>
      </c:barChart>
      <c:catAx>
        <c:axId val="1120437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42784"/>
        <c:crosses val="autoZero"/>
        <c:auto val="1"/>
        <c:lblAlgn val="ctr"/>
        <c:lblOffset val="100"/>
        <c:noMultiLvlLbl val="0"/>
      </c:catAx>
      <c:valAx>
        <c:axId val="112044278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[Dashboard_Cafe.xlsx]Tablas_Dinamicas !Mejores_Cafes_LATAM</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068105686603779E-2"/>
          <c:y val="8.007681146386926E-2"/>
          <c:w val="0.81257049578017215"/>
          <c:h val="0.80831917973812895"/>
        </c:manualLayout>
      </c:layout>
      <c:barChart>
        <c:barDir val="col"/>
        <c:grouping val="clustered"/>
        <c:varyColors val="0"/>
        <c:ser>
          <c:idx val="0"/>
          <c:order val="0"/>
          <c:tx>
            <c:strRef>
              <c:f>'Tablas_Dinamicas '!$C$3</c:f>
              <c:strCache>
                <c:ptCount val="1"/>
                <c:pt idx="0">
                  <c:v>Promedio de Promedio_TotalCup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 '!$B$4:$B$13</c:f>
              <c:strCache>
                <c:ptCount val="10"/>
                <c:pt idx="0">
                  <c:v>Guatemala</c:v>
                </c:pt>
                <c:pt idx="1">
                  <c:v>Colombia</c:v>
                </c:pt>
                <c:pt idx="2">
                  <c:v>Honduras</c:v>
                </c:pt>
                <c:pt idx="3">
                  <c:v>Brazil</c:v>
                </c:pt>
                <c:pt idx="4">
                  <c:v>Costa Rica</c:v>
                </c:pt>
                <c:pt idx="5">
                  <c:v>Nicaragua</c:v>
                </c:pt>
                <c:pt idx="6">
                  <c:v>El Salvador</c:v>
                </c:pt>
                <c:pt idx="7">
                  <c:v>Peru</c:v>
                </c:pt>
                <c:pt idx="8">
                  <c:v>Mexico</c:v>
                </c:pt>
                <c:pt idx="9">
                  <c:v>Panama</c:v>
                </c:pt>
              </c:strCache>
            </c:strRef>
          </c:cat>
          <c:val>
            <c:numRef>
              <c:f>'Tablas_Dinamicas '!$C$4:$C$13</c:f>
              <c:numCache>
                <c:formatCode>0.00</c:formatCode>
                <c:ptCount val="10"/>
                <c:pt idx="0">
                  <c:v>84.301428571428531</c:v>
                </c:pt>
                <c:pt idx="1">
                  <c:v>83.877368421052623</c:v>
                </c:pt>
                <c:pt idx="2">
                  <c:v>83.282307692307683</c:v>
                </c:pt>
                <c:pt idx="3">
                  <c:v>81.88300000000001</c:v>
                </c:pt>
                <c:pt idx="4">
                  <c:v>83.740000000000009</c:v>
                </c:pt>
                <c:pt idx="5">
                  <c:v>81.892857142857125</c:v>
                </c:pt>
                <c:pt idx="6">
                  <c:v>81.532857142857111</c:v>
                </c:pt>
                <c:pt idx="7">
                  <c:v>82.332499999999996</c:v>
                </c:pt>
                <c:pt idx="8">
                  <c:v>82.710000000000008</c:v>
                </c:pt>
                <c:pt idx="9">
                  <c:v>83.625</c:v>
                </c:pt>
              </c:numCache>
            </c:numRef>
          </c:val>
          <c:extLst>
            <c:ext xmlns:c16="http://schemas.microsoft.com/office/drawing/2014/chart" uri="{C3380CC4-5D6E-409C-BE32-E72D297353CC}">
              <c16:uniqueId val="{00000000-29D1-4C6A-85F8-821078087B7A}"/>
            </c:ext>
          </c:extLst>
        </c:ser>
        <c:ser>
          <c:idx val="1"/>
          <c:order val="1"/>
          <c:tx>
            <c:strRef>
              <c:f>'Tablas_Dinamicas '!$D$3</c:f>
              <c:strCache>
                <c:ptCount val="1"/>
                <c:pt idx="0">
                  <c:v>Cuenta de Muestras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 '!$B$4:$B$13</c:f>
              <c:strCache>
                <c:ptCount val="10"/>
                <c:pt idx="0">
                  <c:v>Guatemala</c:v>
                </c:pt>
                <c:pt idx="1">
                  <c:v>Colombia</c:v>
                </c:pt>
                <c:pt idx="2">
                  <c:v>Honduras</c:v>
                </c:pt>
                <c:pt idx="3">
                  <c:v>Brazil</c:v>
                </c:pt>
                <c:pt idx="4">
                  <c:v>Costa Rica</c:v>
                </c:pt>
                <c:pt idx="5">
                  <c:v>Nicaragua</c:v>
                </c:pt>
                <c:pt idx="6">
                  <c:v>El Salvador</c:v>
                </c:pt>
                <c:pt idx="7">
                  <c:v>Peru</c:v>
                </c:pt>
                <c:pt idx="8">
                  <c:v>Mexico</c:v>
                </c:pt>
                <c:pt idx="9">
                  <c:v>Panama</c:v>
                </c:pt>
              </c:strCache>
            </c:strRef>
          </c:cat>
          <c:val>
            <c:numRef>
              <c:f>'Tablas_Dinamicas '!$D$4:$D$13</c:f>
              <c:numCache>
                <c:formatCode>0</c:formatCode>
                <c:ptCount val="10"/>
                <c:pt idx="0">
                  <c:v>21</c:v>
                </c:pt>
                <c:pt idx="1">
                  <c:v>19</c:v>
                </c:pt>
                <c:pt idx="2">
                  <c:v>13</c:v>
                </c:pt>
                <c:pt idx="3">
                  <c:v>10</c:v>
                </c:pt>
                <c:pt idx="4">
                  <c:v>8</c:v>
                </c:pt>
                <c:pt idx="5">
                  <c:v>7</c:v>
                </c:pt>
                <c:pt idx="6">
                  <c:v>7</c:v>
                </c:pt>
                <c:pt idx="7">
                  <c:v>4</c:v>
                </c:pt>
                <c:pt idx="8">
                  <c:v>4</c:v>
                </c:pt>
                <c:pt idx="9">
                  <c:v>2</c:v>
                </c:pt>
              </c:numCache>
            </c:numRef>
          </c:val>
          <c:extLst>
            <c:ext xmlns:c16="http://schemas.microsoft.com/office/drawing/2014/chart" uri="{C3380CC4-5D6E-409C-BE32-E72D297353CC}">
              <c16:uniqueId val="{00000001-29D1-4C6A-85F8-821078087B7A}"/>
            </c:ext>
          </c:extLst>
        </c:ser>
        <c:dLbls>
          <c:showLegendKey val="0"/>
          <c:showVal val="0"/>
          <c:showCatName val="0"/>
          <c:showSerName val="0"/>
          <c:showPercent val="0"/>
          <c:showBubbleSize val="0"/>
        </c:dLbls>
        <c:gapWidth val="219"/>
        <c:overlap val="-27"/>
        <c:axId val="1120437504"/>
        <c:axId val="1120442784"/>
      </c:barChart>
      <c:catAx>
        <c:axId val="1120437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42784"/>
        <c:crosses val="autoZero"/>
        <c:auto val="1"/>
        <c:lblAlgn val="ctr"/>
        <c:lblOffset val="100"/>
        <c:noMultiLvlLbl val="0"/>
      </c:catAx>
      <c:valAx>
        <c:axId val="112044278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533399</xdr:colOff>
      <xdr:row>2</xdr:row>
      <xdr:rowOff>4761</xdr:rowOff>
    </xdr:from>
    <xdr:to>
      <xdr:col>16</xdr:col>
      <xdr:colOff>352425</xdr:colOff>
      <xdr:row>27</xdr:row>
      <xdr:rowOff>123824</xdr:rowOff>
    </xdr:to>
    <xdr:graphicFrame macro="">
      <xdr:nvGraphicFramePr>
        <xdr:cNvPr id="2" name="Gráfico 1">
          <a:extLst>
            <a:ext uri="{FF2B5EF4-FFF2-40B4-BE49-F238E27FC236}">
              <a16:creationId xmlns:a16="http://schemas.microsoft.com/office/drawing/2014/main" id="{97E9820A-27D5-4651-E912-507FA5C43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133350</xdr:colOff>
      <xdr:row>6</xdr:row>
      <xdr:rowOff>9526</xdr:rowOff>
    </xdr:from>
    <xdr:to>
      <xdr:col>17</xdr:col>
      <xdr:colOff>514350</xdr:colOff>
      <xdr:row>31</xdr:row>
      <xdr:rowOff>9526</xdr:rowOff>
    </xdr:to>
    <xdr:graphicFrame macro="">
      <xdr:nvGraphicFramePr>
        <xdr:cNvPr id="2" name="Gráfico 1">
          <a:extLst>
            <a:ext uri="{FF2B5EF4-FFF2-40B4-BE49-F238E27FC236}">
              <a16:creationId xmlns:a16="http://schemas.microsoft.com/office/drawing/2014/main" id="{7A0E3C04-406C-4CB7-996F-40F87A103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7</xdr:row>
      <xdr:rowOff>190499</xdr:rowOff>
    </xdr:from>
    <xdr:to>
      <xdr:col>8</xdr:col>
      <xdr:colOff>714375</xdr:colOff>
      <xdr:row>31</xdr:row>
      <xdr:rowOff>9525</xdr:rowOff>
    </xdr:to>
    <xdr:sp macro="" textlink="">
      <xdr:nvSpPr>
        <xdr:cNvPr id="3" name="CuadroTexto 2">
          <a:extLst>
            <a:ext uri="{FF2B5EF4-FFF2-40B4-BE49-F238E27FC236}">
              <a16:creationId xmlns:a16="http://schemas.microsoft.com/office/drawing/2014/main" id="{213FF7A6-0044-B181-4268-7027795B7E94}"/>
            </a:ext>
          </a:extLst>
        </xdr:cNvPr>
        <xdr:cNvSpPr txBox="1"/>
      </xdr:nvSpPr>
      <xdr:spPr>
        <a:xfrm>
          <a:off x="4286250" y="1523999"/>
          <a:ext cx="3448050" cy="4391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rgbClr val="FF0000"/>
              </a:solidFill>
            </a:rPr>
            <a:t>INSIGHT</a:t>
          </a:r>
        </a:p>
        <a:p>
          <a:endParaRPr lang="en-CA" sz="1050">
            <a:solidFill>
              <a:srgbClr val="FF0000"/>
            </a:solidFill>
            <a:latin typeface="Arial" panose="020B0604020202020204" pitchFamily="34" charset="0"/>
            <a:cs typeface="Arial" panose="020B0604020202020204" pitchFamily="34" charset="0"/>
          </a:endParaRPr>
        </a:p>
        <a:p>
          <a:r>
            <a:rPr lang="en-CA" sz="1050">
              <a:solidFill>
                <a:sysClr val="windowText" lastClr="000000"/>
              </a:solidFill>
              <a:latin typeface="Arial" panose="020B0604020202020204" pitchFamily="34" charset="0"/>
              <a:cs typeface="Arial" panose="020B0604020202020204" pitchFamily="34" charset="0"/>
            </a:rPr>
            <a:t>1. Liderazgo Consistente: Guatemala y Colombia no solo encabezan el ranking de calidad con los promedios más altos (84.30 y 83.88 puntos), sino que son los países con mayor respaldo estadístico de la región, sumando entre ambos 40 muestras analizadas. Esto demuestra una consistencia de producción sobresaliente.</a:t>
          </a:r>
        </a:p>
        <a:p>
          <a:endParaRPr lang="en-CA" sz="1050">
            <a:solidFill>
              <a:sysClr val="windowText" lastClr="000000"/>
            </a:solidFill>
            <a:latin typeface="Arial" panose="020B0604020202020204" pitchFamily="34" charset="0"/>
            <a:cs typeface="Arial" panose="020B0604020202020204" pitchFamily="34" charset="0"/>
          </a:endParaRPr>
        </a:p>
        <a:p>
          <a:r>
            <a:rPr lang="en-CA" sz="1050">
              <a:solidFill>
                <a:sysClr val="windowText" lastClr="000000"/>
              </a:solidFill>
              <a:latin typeface="Arial" panose="020B0604020202020204" pitchFamily="34" charset="0"/>
              <a:cs typeface="Arial" panose="020B0604020202020204" pitchFamily="34" charset="0"/>
            </a:rPr>
            <a:t>2. El Fenómeno de Panamá (Calidad vs. Volumen): Panamá registra una puntuación excelente de 83.63, lo que visualmente lo colocaría en el Top 4 general. Sin embargo, este resultado proviene de únicamente 2 muestras. Al tener un volumen tan bajo, el promedio es altamente sensible y requiere mayor cantidad de datos para consolidar su posición frente a competidores con más historia estadística.</a:t>
          </a:r>
        </a:p>
        <a:p>
          <a:endParaRPr lang="en-CA" sz="1050">
            <a:solidFill>
              <a:sysClr val="windowText" lastClr="000000"/>
            </a:solidFill>
            <a:latin typeface="Arial" panose="020B0604020202020204" pitchFamily="34" charset="0"/>
            <a:cs typeface="Arial" panose="020B0604020202020204" pitchFamily="34" charset="0"/>
          </a:endParaRPr>
        </a:p>
        <a:p>
          <a:r>
            <a:rPr lang="en-CA" sz="1050">
              <a:solidFill>
                <a:sysClr val="windowText" lastClr="000000"/>
              </a:solidFill>
              <a:latin typeface="Arial" panose="020B0604020202020204" pitchFamily="34" charset="0"/>
              <a:cs typeface="Arial" panose="020B0604020202020204" pitchFamily="34" charset="0"/>
            </a:rPr>
            <a:t>3. Diagnóstico del Perfil Sensorial Regional: &gt; En la tabla de comparación de atributos, el Sabor (7.74) y el Aroma (7.72) se consolidan como las principales fortalezas del café latinoamericano. Por otro lado, el Balance (7.64) registra la menor puntuación global, señalando que el equilibrio perfecto en taza sigue siendo el reto más exigente para los productores de la región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Guadarrama" refreshedDate="46183.383775578703" createdVersion="8" refreshedVersion="8" minRefreshableVersion="3" recordCount="207" xr:uid="{154F8789-07B6-4C46-B591-AA0F02D273B2}">
  <cacheSource type="worksheet">
    <worksheetSource name="df_arabica_clean"/>
  </cacheSource>
  <cacheFields count="43">
    <cacheField name="Column1" numFmtId="0">
      <sharedItems containsSemiMixedTypes="0" containsString="0" containsNumber="1" containsInteger="1" minValue="0" maxValue="206"/>
    </cacheField>
    <cacheField name="ID" numFmtId="0">
      <sharedItems containsSemiMixedTypes="0" containsString="0" containsNumber="1" containsInteger="1" minValue="0" maxValue="206"/>
    </cacheField>
    <cacheField name="Country of Origin" numFmtId="0">
      <sharedItems count="22">
        <s v="Brazil"/>
        <s v="Colombia"/>
        <s v="Costa Rica"/>
        <s v="El Salvador"/>
        <s v="Ethiopia"/>
        <s v="Guatemala"/>
        <s v="Honduras"/>
        <s v="Indonesia"/>
        <s v="Kenya"/>
        <s v="Laos"/>
        <s v="Madagascar"/>
        <s v="Mexico"/>
        <s v="Myanmar"/>
        <s v="Nicaragua"/>
        <s v="Panama"/>
        <s v="Peru"/>
        <s v="Taiwan"/>
        <s v="Tanzania, United Republic Of"/>
        <s v="Thailand"/>
        <s v="Uganda"/>
        <s v="United States (Hawaii)"/>
        <s v="Vietnam"/>
      </sharedItems>
    </cacheField>
    <cacheField name="Farm Name" numFmtId="0">
      <sharedItems/>
    </cacheField>
    <cacheField name="Lot Number" numFmtId="0">
      <sharedItems/>
    </cacheField>
    <cacheField name="Mill" numFmtId="0">
      <sharedItems/>
    </cacheField>
    <cacheField name="Company" numFmtId="0">
      <sharedItems/>
    </cacheField>
    <cacheField name="Altitude" numFmtId="0">
      <sharedItems/>
    </cacheField>
    <cacheField name="Altitud_Limpia" numFmtId="0">
      <sharedItems containsMixedTypes="1" containsNumber="1" containsInteger="1" minValue="42" maxValue="1646"/>
    </cacheField>
    <cacheField name="Columna1" numFmtId="0">
      <sharedItems/>
    </cacheField>
    <cacheField name="Region" numFmtId="0">
      <sharedItems count="115">
        <s v="Região Vulcânica"/>
        <s v="Campo das Vertentes"/>
        <s v="Sul de Minas"/>
        <s v="MANTIQUEIRA / SUL DE MINAS"/>
        <s v="Mantiquira de minas"/>
        <s v="Alta Mogiana-Ibiraci"/>
        <s v="Minas Gerais"/>
        <s v="Piendamo,Cauca"/>
        <s v="Popayan,Cauca"/>
        <s v="tolima"/>
        <s v="Quindio"/>
        <s v="Sierra Nevada de Santa Marta"/>
        <s v="Huila"/>
        <s v="Pereira"/>
        <s v="Cauca"/>
        <s v=""/>
        <s v="Popayán Cauca"/>
        <s v="Santander"/>
        <s v="Caicedonia,Valle del Cauca"/>
        <s v="Los Santos,Tarrazu"/>
        <s v="Tarrazu"/>
        <s v="west Villege"/>
        <s v="Corralillo Tarrazu"/>
        <s v="occidente"/>
        <s v="Chalatenango"/>
        <s v="Apaneca - Ilamatepec"/>
        <s v="Volcan Chinchontepek, San Vicente, El Salvador"/>
        <s v="Volcan de San Vicente, La Paz, El Salvador"/>
        <s v="Guji"/>
        <s v="Gedeb,Yirgacheffe,Sidamo"/>
        <s v="Oromia"/>
        <s v="Southern Ethiopia Guji"/>
        <s v="Ethiopia"/>
        <s v="Addis Ababa"/>
        <s v="Sidama"/>
        <s v="Chimaltenango"/>
        <s v="Acatenango"/>
        <s v="Guatemala, Fraijanes, Santa Rosa"/>
        <s v="Antigua"/>
        <s v="Santa Rosa"/>
        <s v="quiche"/>
        <s v="Huehuetenango"/>
        <s v="ANTIGUA GUATEMALA"/>
        <s v="Atitlán"/>
        <s v="Oriente Santa rosa"/>
        <s v="Sierra de las minas"/>
        <s v="New Oriente"/>
        <s v="NEW ORIENTE &amp; HUEHUETENANGO"/>
        <s v="Oriente"/>
        <s v="Centro, Lagunetillas-Ajuterique, Comayagua"/>
        <s v="San Andrés, Lempira"/>
        <s v="San Jose, La Paz"/>
        <s v="Marcala"/>
        <s v="Marcala, La Paz"/>
        <s v="Centro, Lagunetillas - Ajuterique, Comayagua"/>
        <s v="Los Planes de Santa Maria, La Paz"/>
        <s v="los planes de santa maria la paz"/>
        <s v="Aceh Tengah"/>
        <s v="Lintong Nihuta/Dolok Sanggul,Sumatera Utara"/>
        <s v="Sumatra"/>
        <s v="Central"/>
        <s v="Kericho"/>
        <s v="Laos Borofen Plateau"/>
        <s v="Nongluang Bolaven Plateau, Champasack, Lao PDR"/>
        <s v="Bolaven Plateau"/>
        <s v="Itasy"/>
        <s v="Chiapas"/>
        <s v="ZONGOLICA, VERACRUZ"/>
        <s v="Veracruz"/>
        <s v="Coatepec, Veracruz"/>
        <s v="South Shan State"/>
        <s v="ESTELI"/>
        <s v="Matagalpa"/>
        <s v="Matagalpa, Nicaragua"/>
        <s v="Jinotega"/>
        <s v="Boquete"/>
        <s v="Villa Rica"/>
        <s v="Chanchamayo, La Merced"/>
        <s v="Chanchamayo, Lamerced"/>
        <s v="Chiayi"/>
        <s v="Yunlin"/>
        <s v="Shibi, Gukeng Township, Yunlin County 郵遞區號 , Taiwan (R.O.C.)"/>
        <s v="Gukeng Township, Yunlin County"/>
        <s v="卓溪鄉Zhuoxi Township"/>
        <s v="壽豐鄉Shoufeng Township"/>
        <s v="Dongshan Dist., Tainan City"/>
        <s v="Caoling , Gukeng Township, Yunlin County"/>
        <s v="秀林鄉Show Linxia Township"/>
        <s v="台灣屏東"/>
        <s v="苗栗縣"/>
        <s v="新竹縣"/>
        <s v="Nantou"/>
        <s v="( Dongshan Dist., Tainan City)"/>
        <s v="玉里鎮Yuli Township"/>
        <s v="新北市"/>
        <s v="桃園市"/>
        <s v="臺北市"/>
        <s v="KILIMANJARO"/>
        <s v="Arusha"/>
        <s v="Mbeya"/>
        <s v="Chiang Mai"/>
        <s v="Nan"/>
        <s v="North of Thailand"/>
        <s v="Suan Ya Lung"/>
        <s v="Chiang Rai"/>
        <s v="Rwenzori"/>
        <s v="Mt Elgon"/>
        <s v="Kona"/>
        <s v="Ka'u district of Big Island"/>
        <s v="Ka'u"/>
        <s v="Kona district of Big Island"/>
        <s v="Quang Tri"/>
        <s v="Eatan Commune, Krong Nang District, Krong Nang Province"/>
        <s v="Dalat"/>
        <s v="Lam Dong Province"/>
      </sharedItems>
    </cacheField>
    <cacheField name="Producer" numFmtId="0">
      <sharedItems/>
    </cacheField>
    <cacheField name="Number of Bags" numFmtId="0">
      <sharedItems containsSemiMixedTypes="0" containsString="0" containsNumber="1" containsInteger="1" minValue="1" maxValue="2240"/>
    </cacheField>
    <cacheField name="Bag Weight" numFmtId="0">
      <sharedItems/>
    </cacheField>
    <cacheField name="In-Country Partner" numFmtId="0">
      <sharedItems/>
    </cacheField>
    <cacheField name="Harvest Year" numFmtId="0">
      <sharedItems/>
    </cacheField>
    <cacheField name="Grading Date" numFmtId="0">
      <sharedItems/>
    </cacheField>
    <cacheField name="Owner" numFmtId="0">
      <sharedItems/>
    </cacheField>
    <cacheField name="Variety" numFmtId="0">
      <sharedItems/>
    </cacheField>
    <cacheField name="Status" numFmtId="0">
      <sharedItems/>
    </cacheField>
    <cacheField name="Processing Method" numFmtId="0">
      <sharedItems/>
    </cacheField>
    <cacheField name="Aroma" numFmtId="0">
      <sharedItems containsSemiMixedTypes="0" containsString="0" containsNumber="1" minValue="6.5" maxValue="8.58" count="19">
        <n v="7.83"/>
        <n v="7.58"/>
        <n v="7.5"/>
        <n v="7.42"/>
        <n v="7.25"/>
        <n v="7.17"/>
        <n v="8.58"/>
        <n v="8.33"/>
        <n v="8.08"/>
        <n v="7.75"/>
        <n v="7.67"/>
        <n v="7.92"/>
        <n v="8"/>
        <n v="7.33"/>
        <n v="7.08"/>
        <n v="6.5"/>
        <n v="8.17"/>
        <n v="8.5"/>
        <n v="8.25"/>
      </sharedItems>
    </cacheField>
    <cacheField name="Flavor" numFmtId="0">
      <sharedItems containsSemiMixedTypes="0" containsString="0" containsNumber="1" minValue="6.75" maxValue="8.5" count="19">
        <n v="8.08"/>
        <n v="7.92"/>
        <n v="7.5"/>
        <n v="7.58"/>
        <n v="7.42"/>
        <n v="7.17"/>
        <n v="7.08"/>
        <n v="8.5"/>
        <n v="8.33"/>
        <n v="8"/>
        <n v="7.75"/>
        <n v="7.83"/>
        <n v="7.67"/>
        <n v="7.25"/>
        <n v="8.17"/>
        <n v="7.33"/>
        <n v="6.75"/>
        <n v="8.25"/>
        <n v="8.42"/>
      </sharedItems>
    </cacheField>
    <cacheField name="Aftertaste" numFmtId="0">
      <sharedItems containsSemiMixedTypes="0" containsString="0" containsNumber="1" minValue="6.67" maxValue="8.42"/>
    </cacheField>
    <cacheField name="Acidity" numFmtId="0">
      <sharedItems containsSemiMixedTypes="0" containsString="0" containsNumber="1" minValue="6.83" maxValue="8.58"/>
    </cacheField>
    <cacheField name="Body" numFmtId="0">
      <sharedItems containsSemiMixedTypes="0" containsString="0" containsNumber="1" minValue="6.83" maxValue="8.25"/>
    </cacheField>
    <cacheField name="Balance" numFmtId="0">
      <sharedItems containsSemiMixedTypes="0" containsString="0" containsNumber="1" minValue="6.67" maxValue="8.42" count="18">
        <n v="7.83"/>
        <n v="7.5"/>
        <n v="7.42"/>
        <n v="7.33"/>
        <n v="7.25"/>
        <n v="7.17"/>
        <n v="6.67"/>
        <n v="8.42"/>
        <n v="7.92"/>
        <n v="8"/>
        <n v="7.67"/>
        <n v="7.75"/>
        <n v="7.58"/>
        <n v="8.08"/>
        <n v="7"/>
        <n v="7.08"/>
        <n v="8.17"/>
        <n v="8.25"/>
      </sharedItems>
    </cacheField>
    <cacheField name="Uniformity" numFmtId="0">
      <sharedItems containsSemiMixedTypes="0" containsString="0" containsNumber="1" minValue="8.67" maxValue="10"/>
    </cacheField>
    <cacheField name="Clean Cup" numFmtId="0">
      <sharedItems containsSemiMixedTypes="0" containsString="0" containsNumber="1" containsInteger="1" minValue="10" maxValue="10"/>
    </cacheField>
    <cacheField name="Sweetness" numFmtId="0">
      <sharedItems containsSemiMixedTypes="0" containsString="0" containsNumber="1" containsInteger="1" minValue="10" maxValue="10"/>
    </cacheField>
    <cacheField name="Overall" numFmtId="0">
      <sharedItems containsSemiMixedTypes="0" containsString="0" containsNumber="1" minValue="6.67" maxValue="8.58"/>
    </cacheField>
    <cacheField name="Total Cup Points" numFmtId="0">
      <sharedItems containsSemiMixedTypes="0" containsString="0" containsNumber="1" minValue="78" maxValue="89.33"/>
    </cacheField>
    <cacheField name="Moisture Percentage" numFmtId="0">
      <sharedItems containsSemiMixedTypes="0" containsString="0" containsNumber="1" minValue="0" maxValue="13.5"/>
    </cacheField>
    <cacheField name="Category One Defects" numFmtId="0">
      <sharedItems containsSemiMixedTypes="0" containsString="0" containsNumber="1" containsInteger="1" minValue="0" maxValue="5"/>
    </cacheField>
    <cacheField name="Quakers" numFmtId="0">
      <sharedItems containsSemiMixedTypes="0" containsString="0" containsNumber="1" containsInteger="1" minValue="0" maxValue="12"/>
    </cacheField>
    <cacheField name="Color" numFmtId="0">
      <sharedItems/>
    </cacheField>
    <cacheField name="Category Two Defects" numFmtId="0">
      <sharedItems containsSemiMixedTypes="0" containsString="0" containsNumber="1" containsInteger="1" minValue="0" maxValue="16"/>
    </cacheField>
    <cacheField name="Expiration" numFmtId="0">
      <sharedItems/>
    </cacheField>
    <cacheField name="Certification Body" numFmtId="0">
      <sharedItems/>
    </cacheField>
    <cacheField name="Certification Address" numFmtId="0">
      <sharedItems/>
    </cacheField>
    <cacheField name="Certification Contact" numFmtId="0">
      <sharedItems/>
    </cacheField>
    <cacheField name="Promedio_TotalCup" numFmtId="0">
      <sharedItems containsSemiMixedTypes="0" containsString="0" containsNumber="1" minValue="81.532857142857125" maxValue="84.960909090909098" count="22">
        <n v="81.882999999999996"/>
        <n v="83.877368421052651"/>
        <n v="83.740000000000009"/>
        <n v="81.532857142857125"/>
        <n v="84.960909090909098"/>
        <n v="84.301428571428573"/>
        <n v="83.282307692307697"/>
        <n v="83.693333333333328"/>
        <n v="83.710000000000008"/>
        <n v="83.39"/>
        <n v="84.25"/>
        <n v="82.710000000000008"/>
        <n v="83.67"/>
        <n v="81.892857142857139"/>
        <n v="83.625"/>
        <n v="82.332499999999996"/>
        <n v="84.350327868852446"/>
        <n v="84.734999999999999"/>
        <n v="82.827499999999986"/>
        <n v="83.916666666666671"/>
        <n v="83.65"/>
        <n v="82.892499999999998"/>
      </sharedItems>
    </cacheField>
    <cacheField name="Muestras" numFmtId="0">
      <sharedItems containsSemiMixedTypes="0" containsString="0" containsNumber="1" containsInteger="1" minValue="1" maxValue="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n v="25"/>
    <n v="25"/>
    <x v="0"/>
    <s v="Fazenda Recreio"/>
    <s v="Arara 1"/>
    <s v="Dry mill"/>
    <s v="WIT wealth, investments &amp; trust"/>
    <s v="1250"/>
    <n v="381"/>
    <s v="Convertido"/>
    <x v="0"/>
    <s v="Diogo T. Dias de Macedo"/>
    <n v="25"/>
    <s v="60 kg"/>
    <s v="Brazil Specialty Coffee Association"/>
    <s v="2022"/>
    <s v="January 6th, 2023"/>
    <s v="Andre Clark"/>
    <s v=""/>
    <s v="Completed"/>
    <s v="Pulped natural / honey"/>
    <x v="0"/>
    <x v="0"/>
    <n v="7.83"/>
    <n v="7.92"/>
    <n v="8"/>
    <x v="0"/>
    <n v="10"/>
    <n v="10"/>
    <n v="10"/>
    <n v="8"/>
    <n v="85.5"/>
    <n v="11.3"/>
    <n v="2"/>
    <n v="0"/>
    <s v="green"/>
    <n v="3"/>
    <s v="January 6th, 2024"/>
    <s v="Brazil Specialty Coffee Association"/>
    <s v="Rua Gaspar Batista Paiva, 416 – Santa Luiza Varginha/MG – Brazil"/>
    <s v="Chris Allen - 55 35 3212-4705"/>
    <x v="0"/>
    <n v="10"/>
  </r>
  <r>
    <n v="56"/>
    <n v="56"/>
    <x v="0"/>
    <s v="Fazenda Guariroba"/>
    <s v="FBT111"/>
    <s v="Wet-Hulling"/>
    <s v="Mirai Seeds Corp."/>
    <s v="1100"/>
    <n v="335"/>
    <s v="Convertido"/>
    <x v="1"/>
    <s v="Homero Paiva"/>
    <n v="5"/>
    <s v="36 kg"/>
    <s v="Japan Coffee Exchange"/>
    <s v="2022"/>
    <s v="February 13th, 2023"/>
    <s v="Marcelo Itoh"/>
    <s v="Yellow Bourbon"/>
    <s v="Completed"/>
    <s v="Double Carbonic Maceration / Natural"/>
    <x v="0"/>
    <x v="1"/>
    <n v="7.75"/>
    <n v="7.92"/>
    <n v="7.67"/>
    <x v="0"/>
    <n v="10"/>
    <n v="10"/>
    <n v="10"/>
    <n v="7.83"/>
    <n v="84.75"/>
    <n v="11.2"/>
    <n v="0"/>
    <n v="1"/>
    <s v="green"/>
    <n v="5"/>
    <s v="February 13th, 2024"/>
    <s v="Japan Coffee Exchange"/>
    <s v="〒413-0002 静岡県熱海市伊豆山１１７３−５８ 1173-58 Izusan, Atami, Shizuoka, 413-0002 JAPAN"/>
    <s v="松澤　宏樹　Koju Matsuzawa - +81(0)9085642901"/>
    <x v="0"/>
    <n v="10"/>
  </r>
  <r>
    <n v="129"/>
    <n v="129"/>
    <x v="0"/>
    <s v="Fazenda Conquista e Capoeirinha"/>
    <s v="004/22"/>
    <s v="Dry mill"/>
    <s v="Ipanema Coffees"/>
    <s v="950"/>
    <n v="290"/>
    <s v="Convertido"/>
    <x v="2"/>
    <s v="Ipanema Agrícola SA"/>
    <n v="960"/>
    <s v="60 kg"/>
    <s v="Brazil Specialty Coffee Association"/>
    <s v="2022 / 2023"/>
    <s v="February 13th, 2023"/>
    <s v="Ipanema Coffees"/>
    <s v="Mundo Novo"/>
    <s v="Completed"/>
    <s v="Natural / Dry"/>
    <x v="1"/>
    <x v="2"/>
    <n v="7.5"/>
    <n v="7.83"/>
    <n v="7.67"/>
    <x v="1"/>
    <n v="10"/>
    <n v="10"/>
    <n v="10"/>
    <n v="7.67"/>
    <n v="83.25"/>
    <n v="11.6"/>
    <n v="0"/>
    <n v="0"/>
    <s v="green"/>
    <n v="4"/>
    <s v="February 13th, 2024"/>
    <s v="Brazil Specialty Coffee Association"/>
    <s v="Rua Gaspar Batista Paiva, 416 – Santa Luiza Varginha/MG – Brazil"/>
    <s v="Chris Allen - 55 35 3212-4705"/>
    <x v="0"/>
    <n v="10"/>
  </r>
  <r>
    <n v="158"/>
    <n v="158"/>
    <x v="0"/>
    <s v="Fazenda Pedra Preta"/>
    <s v="MVB-QCert-001/2022"/>
    <s v="COPAG VARGINHA"/>
    <s v="Man Volcafe Brasil Ltda."/>
    <s v="1100"/>
    <n v="335"/>
    <s v="Convertido"/>
    <x v="3"/>
    <s v="Eduardo Niero de Souza"/>
    <n v="620"/>
    <s v="30 kg"/>
    <s v="Brazil Specialty Coffee Association"/>
    <s v="2022 / 2023"/>
    <s v="November 3rd, 2022"/>
    <s v="ED&amp;F Man Volcafe Brasil Ltda."/>
    <s v="Mundo Novo"/>
    <s v="Completed"/>
    <s v="Natural / Dry"/>
    <x v="2"/>
    <x v="3"/>
    <n v="7.5"/>
    <n v="7.5"/>
    <n v="7.67"/>
    <x v="2"/>
    <n v="10"/>
    <n v="10"/>
    <n v="10"/>
    <n v="7.33"/>
    <n v="82.5"/>
    <n v="11.8"/>
    <n v="0"/>
    <n v="1"/>
    <s v="bluish-green"/>
    <n v="1"/>
    <s v="November 3rd, 2023"/>
    <s v="Brazil Specialty Coffee Association"/>
    <s v="Rua Gaspar Batista Paiva, 416 – Santa Luiza Varginha/MG – Brazil"/>
    <s v="Chris Allen - 55 35 3212-4705"/>
    <x v="0"/>
    <n v="10"/>
  </r>
  <r>
    <n v="183"/>
    <n v="183"/>
    <x v="0"/>
    <s v="Sitio Colinas"/>
    <s v="CQU2023007"/>
    <s v="COCARIVE"/>
    <s v="Coffee Quality Union"/>
    <s v="1000"/>
    <n v="305"/>
    <s v="Convertido"/>
    <x v="4"/>
    <s v="Luis Flavio Pereira de Castro"/>
    <n v="14"/>
    <s v="5 kg"/>
    <s v="Japan Coffee Exchange"/>
    <s v="2022"/>
    <s v="April 7th, 2023"/>
    <s v="Coffee Quality Union"/>
    <s v="Yellow Catuai"/>
    <s v="Completed"/>
    <s v="Pulped natural / honey"/>
    <x v="2"/>
    <x v="2"/>
    <n v="7.42"/>
    <n v="7.33"/>
    <n v="7.33"/>
    <x v="3"/>
    <n v="10"/>
    <n v="10"/>
    <n v="10"/>
    <n v="7.42"/>
    <n v="81.83"/>
    <n v="11.3"/>
    <n v="0"/>
    <n v="0"/>
    <s v="pale yellow"/>
    <n v="2"/>
    <s v="April 6th, 2024"/>
    <s v="Japan Coffee Exchange"/>
    <s v="〒413-0002 静岡県熱海市伊豆山１１７３−５８ 1173-58 Izusan, Atami, Shizuoka, 413-0002 JAPAN"/>
    <s v="松澤　宏樹　Koju Matsuzawa - +81(0)9085642901"/>
    <x v="0"/>
    <n v="10"/>
  </r>
  <r>
    <n v="184"/>
    <n v="184"/>
    <x v="0"/>
    <s v="Fazenda Olhos Dagua"/>
    <s v="1"/>
    <s v="Owned by producer"/>
    <s v="Mr.Brown Cafe"/>
    <s v="900-1000"/>
    <e v="#VALUE!"/>
    <s v="Convertido"/>
    <x v="2"/>
    <s v="Paulo Enidio Crabi"/>
    <n v="325"/>
    <s v="59 kg"/>
    <s v="Taiwan Coffee Laboratory 台灣咖啡研究室"/>
    <s v="2021"/>
    <s v="December 30th, 2022"/>
    <s v="MR.BROWN CAFE"/>
    <s v="Catucai"/>
    <s v="Completed"/>
    <s v="Natural / Dry"/>
    <x v="3"/>
    <x v="2"/>
    <n v="7.58"/>
    <n v="7.33"/>
    <n v="7.33"/>
    <x v="4"/>
    <n v="10"/>
    <n v="10"/>
    <n v="10"/>
    <n v="7.33"/>
    <n v="81.75"/>
    <n v="11.1"/>
    <n v="0"/>
    <n v="0"/>
    <s v="yellow-green"/>
    <n v="0"/>
    <s v="December 30th, 2023"/>
    <s v="Taiwan Coffee Laboratory 台灣咖啡研究室"/>
    <s v="QAHWAH CO., LTD 4F, No. 225, Sec. 3, Beixin Rd., Xindian Dist. New Taipei City, Taiwan"/>
    <s v="Lin, Jen-An Neil 林仁安 - 886-289116612"/>
    <x v="0"/>
    <n v="10"/>
  </r>
  <r>
    <n v="194"/>
    <n v="194"/>
    <x v="0"/>
    <s v="Various farm"/>
    <s v="0038"/>
    <s v="Dry Mill of Cocapil"/>
    <s v="Marubeni Corporation"/>
    <s v="1200"/>
    <n v="366"/>
    <s v="Convertido"/>
    <x v="5"/>
    <s v="Cocapil"/>
    <n v="440"/>
    <s v="60 kg"/>
    <s v="Japan Coffee Exchange"/>
    <s v="2022 / 2023"/>
    <s v="April 17th, 2023"/>
    <s v="Ikuto Uehara"/>
    <s v=""/>
    <s v="Completed"/>
    <s v="Natural / Dry"/>
    <x v="3"/>
    <x v="4"/>
    <n v="7.25"/>
    <n v="7.25"/>
    <n v="7.17"/>
    <x v="4"/>
    <n v="10"/>
    <n v="10"/>
    <n v="10"/>
    <n v="7.25"/>
    <n v="81"/>
    <n v="10.6"/>
    <n v="0"/>
    <n v="2"/>
    <s v="greenish"/>
    <n v="1"/>
    <s v="April 16th, 2024"/>
    <s v="Japan Coffee Exchange"/>
    <s v="〒413-0002 静岡県熱海市伊豆山１１７３−５８ 1173-58 Izusan, Atami, Shizuoka, 413-0002 JAPAN"/>
    <s v="松澤　宏樹　Koju Matsuzawa - +81(0)9085642901"/>
    <x v="0"/>
    <n v="10"/>
  </r>
  <r>
    <n v="201"/>
    <n v="201"/>
    <x v="0"/>
    <s v="Various farm"/>
    <s v="002/1738/0029"/>
    <s v="Dry mill"/>
    <s v="marubeni"/>
    <s v="1200"/>
    <n v="366"/>
    <s v="Convertido"/>
    <x v="5"/>
    <s v="Cocapil"/>
    <n v="440"/>
    <s v="60 kg"/>
    <s v="Japan Coffee Exchange"/>
    <s v="2021 / 2022"/>
    <s v="July 20th, 2022"/>
    <s v="Ikuto Uehara"/>
    <s v="Catuai and Mundo Novo"/>
    <s v="Completed"/>
    <s v="Natural / Dry"/>
    <x v="4"/>
    <x v="5"/>
    <n v="7.17"/>
    <n v="7.08"/>
    <n v="7.17"/>
    <x v="5"/>
    <n v="10"/>
    <n v="10"/>
    <n v="10"/>
    <n v="7.17"/>
    <n v="80.17"/>
    <n v="11.6"/>
    <n v="0"/>
    <n v="1"/>
    <s v="greenish"/>
    <n v="2"/>
    <s v="July 20th, 2023"/>
    <s v="Japan Coffee Exchange"/>
    <s v="〒413-0002 静岡県熱海市伊豆山１１７３−５８ 1173-58 Izusan, Atami, Shizuoka, 413-0002 JAPAN"/>
    <s v="松澤　宏樹　Koju Matsuzawa - +81(0)9085642901"/>
    <x v="0"/>
    <n v="10"/>
  </r>
  <r>
    <n v="202"/>
    <n v="202"/>
    <x v="0"/>
    <s v="Fazenda Conquista"/>
    <s v="019/22"/>
    <s v="Dry mill"/>
    <s v="Ipanema Coffees"/>
    <s v="950"/>
    <n v="290"/>
    <s v="Convertido"/>
    <x v="2"/>
    <s v="Ipanema Coffees"/>
    <n v="2240"/>
    <s v="60 kg"/>
    <s v="Brazil Specialty Coffee Association"/>
    <s v="2022 / 2023"/>
    <s v="February 2nd, 2023"/>
    <s v="Ipanema Coffees"/>
    <s v="Mundo Novo"/>
    <s v="Completed"/>
    <s v="Natural / Dry"/>
    <x v="5"/>
    <x v="5"/>
    <n v="6.92"/>
    <n v="7.17"/>
    <n v="7.42"/>
    <x v="5"/>
    <n v="10"/>
    <n v="10"/>
    <n v="10"/>
    <n v="7.08"/>
    <n v="80.08"/>
    <n v="11.4"/>
    <n v="0"/>
    <n v="0"/>
    <s v="green"/>
    <n v="4"/>
    <s v="February 2nd, 2024"/>
    <s v="Brazil Specialty Coffee Association"/>
    <s v="Rua Gaspar Batista Paiva, 416 – Santa Luiza Varginha/MG – Brazil"/>
    <s v="Chris Allen - 55 35 3212-4705"/>
    <x v="0"/>
    <n v="10"/>
  </r>
  <r>
    <n v="206"/>
    <n v="206"/>
    <x v="0"/>
    <s v="Walter Matter"/>
    <s v="1058 y 1059"/>
    <s v="Beneficio humedo/seco"/>
    <s v="Descafeinadores Mexicano SA. de CV"/>
    <s v="850-1100"/>
    <e v="#VALUE!"/>
    <s v="Convertido"/>
    <x v="6"/>
    <s v="Walter Matter"/>
    <n v="600"/>
    <s v="60 kg"/>
    <s v="Centro Agroecológico del Café A.C."/>
    <s v="2021 / 2022"/>
    <s v="November 18th, 2022"/>
    <s v="Descafeinadores Mexicanos S.A de C.V"/>
    <s v="Mundo Novo"/>
    <s v="Completed"/>
    <s v="SEMI-LAVADO"/>
    <x v="4"/>
    <x v="6"/>
    <n v="6.67"/>
    <n v="6.83"/>
    <n v="6.83"/>
    <x v="6"/>
    <n v="10"/>
    <n v="10"/>
    <n v="10"/>
    <n v="6.67"/>
    <n v="78"/>
    <n v="11.3"/>
    <n v="0"/>
    <n v="0"/>
    <s v="green"/>
    <n v="1"/>
    <s v="November 18th, 2023"/>
    <s v="Centro Agroecológico del Café A.C."/>
    <s v="Instituto de Ecología A. C., Campus III Edificio A Planta Baja Carretera Antigua a Coatepec No. 351 Col. El Haya C.P. 91070 Xalapa, Veracruz, México."/>
    <s v="Stephany Escamilla Femat - Tel. +52 228 8421800 Ext. 3092"/>
    <x v="0"/>
    <n v="10"/>
  </r>
  <r>
    <n v="0"/>
    <n v="0"/>
    <x v="1"/>
    <s v="Finca El Paraiso"/>
    <s v="CQU2022015"/>
    <s v="Finca El Paraiso"/>
    <s v="Coffee Quality Union"/>
    <s v="1700-1930"/>
    <e v="#VALUE!"/>
    <s v="Convertido"/>
    <x v="7"/>
    <s v="Diego Samuel Bermudez"/>
    <n v="1"/>
    <s v="35 kg"/>
    <s v="Japan Coffee Exchange"/>
    <s v="2021 / 2022"/>
    <s v="September 21st, 2022"/>
    <s v="Coffee Quality Union"/>
    <s v="Castillo"/>
    <s v="Completed"/>
    <s v="Double Anaerobic Washed"/>
    <x v="6"/>
    <x v="7"/>
    <n v="8.42"/>
    <n v="8.58"/>
    <n v="8.25"/>
    <x v="7"/>
    <n v="10"/>
    <n v="10"/>
    <n v="10"/>
    <n v="8.58"/>
    <n v="89.33"/>
    <n v="11.8"/>
    <n v="0"/>
    <n v="0"/>
    <s v="green"/>
    <n v="3"/>
    <s v="September 21st, 2023"/>
    <s v="Japan Coffee Exchange"/>
    <s v="〒413-0002 静岡県熱海市伊豆山１１７３−５８ 1173-58 Izusan, Atami, Shizuoka, 413-0002 JAPAN"/>
    <s v="松澤　宏樹　Koju Matsuzawa - +81(0)9085642901"/>
    <x v="1"/>
    <n v="19"/>
  </r>
  <r>
    <n v="4"/>
    <n v="4"/>
    <x v="1"/>
    <s v="Finca Santuario"/>
    <s v="CQU2023002"/>
    <s v="Finca Santuario"/>
    <s v="Coffee Quality Union"/>
    <s v="1850-2100"/>
    <e v="#VALUE!"/>
    <s v="Convertido"/>
    <x v="8"/>
    <s v="Camilo Merizalde"/>
    <n v="2"/>
    <s v="24 kg"/>
    <s v="Japan Coffee Exchange"/>
    <s v="2022"/>
    <s v="March 6th, 2023"/>
    <s v="Coffee Quality Union"/>
    <s v="Red Bourbon"/>
    <s v="Completed"/>
    <s v="Honey,Mossto"/>
    <x v="7"/>
    <x v="8"/>
    <n v="8.08"/>
    <n v="8.25"/>
    <n v="7.92"/>
    <x v="8"/>
    <n v="10"/>
    <n v="10"/>
    <n v="10"/>
    <n v="8.25"/>
    <n v="87.08"/>
    <n v="11.6"/>
    <n v="0"/>
    <n v="2"/>
    <s v="yellow-green"/>
    <n v="2"/>
    <s v="March 5th, 2024"/>
    <s v="Japan Coffee Exchange"/>
    <s v="〒413-0002 静岡県熱海市伊豆山１１７３−５８ 1173-58 Izusan, Atami, Shizuoka, 413-0002 JAPAN"/>
    <s v="松澤　宏樹　Koju Matsuzawa - +81(0)9085642901"/>
    <x v="1"/>
    <n v="19"/>
  </r>
  <r>
    <n v="14"/>
    <n v="14"/>
    <x v="1"/>
    <s v="La Gaitania"/>
    <s v="The 2022 Pacific Rim Coffee Summit,CO03"/>
    <s v="La Gaitania"/>
    <s v="Taiwan Coffee Laboratory"/>
    <s v="1850"/>
    <n v="564"/>
    <s v="Convertido"/>
    <x v="9"/>
    <s v="Josue Enciso Suarez"/>
    <n v="70"/>
    <s v="35 kg"/>
    <s v="Taiwan Coffee Laboratory 台灣咖啡研究室"/>
    <s v="2021 / 2022"/>
    <s v="November 15th, 2022"/>
    <s v="PeiHsun Lin"/>
    <s v="Caturra"/>
    <s v="Completed"/>
    <s v="Washed / Wet"/>
    <x v="8"/>
    <x v="9"/>
    <n v="8.08"/>
    <n v="7.92"/>
    <n v="8.08"/>
    <x v="9"/>
    <n v="10"/>
    <n v="10"/>
    <n v="10"/>
    <n v="8"/>
    <n v="86.17"/>
    <n v="10.6"/>
    <n v="0"/>
    <n v="0"/>
    <s v="green"/>
    <n v="0"/>
    <s v="November 15th, 2023"/>
    <s v="Taiwan Coffee Laboratory 台灣咖啡研究室"/>
    <s v="QAHWAH CO., LTD 4F, No. 225, Sec. 3, Beixin Rd., Xindian Dist. New Taipei City, Taiwan"/>
    <s v="Lin, Jen-An Neil 林仁安 - 886-289116612"/>
    <x v="1"/>
    <n v="19"/>
  </r>
  <r>
    <n v="23"/>
    <n v="23"/>
    <x v="1"/>
    <s v="El Diamante"/>
    <s v="CQU2023005"/>
    <s v="El Diamante"/>
    <s v="Coffee Quality Union"/>
    <s v="1350"/>
    <n v="411"/>
    <s v="Convertido"/>
    <x v="10"/>
    <s v="Farm Bedoya Arango"/>
    <n v="6"/>
    <s v="5 kg"/>
    <s v="Japan Coffee Exchange"/>
    <s v="2022"/>
    <s v="April 7th, 2023"/>
    <s v="Coffee Quality Union"/>
    <s v="Castillo Paraguaycito"/>
    <s v="Completed"/>
    <s v=""/>
    <x v="8"/>
    <x v="9"/>
    <n v="7.83"/>
    <n v="8.17"/>
    <n v="7.75"/>
    <x v="0"/>
    <n v="10"/>
    <n v="10"/>
    <n v="10"/>
    <n v="8"/>
    <n v="85.67"/>
    <n v="11.3"/>
    <n v="0"/>
    <n v="0"/>
    <s v="brownish"/>
    <n v="2"/>
    <s v="April 6th, 2024"/>
    <s v="Japan Coffee Exchange"/>
    <s v="〒413-0002 静岡県熱海市伊豆山１１７３−５８ 1173-58 Izusan, Atami, Shizuoka, 413-0002 JAPAN"/>
    <s v="松澤　宏樹　Koju Matsuzawa - +81(0)9085642901"/>
    <x v="1"/>
    <n v="19"/>
  </r>
  <r>
    <n v="78"/>
    <n v="78"/>
    <x v="1"/>
    <s v="Asociacion Tayronaca"/>
    <s v="NPCO-17418"/>
    <s v="Trilladora Santa Tirsa"/>
    <s v="Sucafina NA"/>
    <s v="2100"/>
    <n v="640"/>
    <s v="Convertido"/>
    <x v="11"/>
    <s v="Grupo Tap"/>
    <n v="275"/>
    <s v="70 kg"/>
    <s v="ASOCIACIÓN COLOMBIANA PARA LA EXCELENCIA DEL CAFE"/>
    <s v="2021 / 2022"/>
    <s v="May 11th, 2022"/>
    <s v="Sucafina Colombia SAS"/>
    <s v="Castillo and Colombia blend"/>
    <s v="Completed"/>
    <s v="Washed / Wet"/>
    <x v="9"/>
    <x v="10"/>
    <n v="7.75"/>
    <n v="7.75"/>
    <n v="7.83"/>
    <x v="10"/>
    <n v="10"/>
    <n v="10"/>
    <n v="10"/>
    <n v="7.83"/>
    <n v="84.33"/>
    <n v="11.6"/>
    <n v="0"/>
    <n v="0"/>
    <s v="green"/>
    <n v="1"/>
    <s v="May 11th, 2023"/>
    <s v="ASOCIACIÓN COLOMBIANA PARA LA EXCELENCIA DEL CAFE"/>
    <s v="Calle 60A #3D-32 / Planta Baja / CQ Lab ASECC"/>
    <s v="Carlos Julian Ruiz - 3212026991"/>
    <x v="1"/>
    <n v="19"/>
  </r>
  <r>
    <n v="92"/>
    <n v="92"/>
    <x v="1"/>
    <s v="COO"/>
    <s v="3-002-00883"/>
    <s v="Laumayer Armenia"/>
    <s v="InterAmerican Coffee"/>
    <s v="1400-1700"/>
    <e v="#VALUE!"/>
    <s v="Convertido"/>
    <x v="12"/>
    <s v="Cooperativa Central de Caficultores del Huila"/>
    <n v="275"/>
    <s v="70 kg"/>
    <s v="NKG Quality Service (a division of Bernhard Rothfos Intercafé AG)"/>
    <s v="2022"/>
    <s v="July 27th, 2022"/>
    <s v="Charles Umeano"/>
    <s v="Caturra"/>
    <s v="Completed"/>
    <s v="Washed / Wet"/>
    <x v="10"/>
    <x v="11"/>
    <n v="7.58"/>
    <n v="7.92"/>
    <n v="7.67"/>
    <x v="10"/>
    <n v="10"/>
    <n v="10"/>
    <n v="10"/>
    <n v="7.67"/>
    <n v="84"/>
    <n v="13.3"/>
    <n v="0"/>
    <n v="2"/>
    <s v="green"/>
    <n v="3"/>
    <s v="July 27th, 2023"/>
    <s v="NKG Quality Service (a division of Bernhard Rothfos Intercafé AG)"/>
    <s v="Bahnhofstrasse 22 6300 Zug, Switzerland"/>
    <s v="Tirza Odermatt - +41 41 728 72 81"/>
    <x v="1"/>
    <n v="19"/>
  </r>
  <r>
    <n v="97"/>
    <n v="97"/>
    <x v="1"/>
    <s v=""/>
    <s v="3/37/1370"/>
    <s v="Racafé &amp; CIA S.C.A, Km 5 Vía Pereira"/>
    <s v="Marubeni Corporation"/>
    <s v="1411"/>
    <n v="430"/>
    <s v="Convertido"/>
    <x v="13"/>
    <s v="RACAFE &amp; CIA SCA"/>
    <n v="375"/>
    <s v="70 kg"/>
    <s v="Japan Coffee Exchange"/>
    <s v="2022 / 2023"/>
    <s v="April 17th, 2023"/>
    <s v="Ikuto Uehara"/>
    <s v=""/>
    <s v="Completed"/>
    <s v="Washed / Wet"/>
    <x v="10"/>
    <x v="10"/>
    <n v="7.67"/>
    <n v="7.75"/>
    <n v="7.67"/>
    <x v="10"/>
    <n v="10"/>
    <n v="10"/>
    <n v="10"/>
    <n v="7.67"/>
    <n v="83.83"/>
    <n v="11.9"/>
    <n v="0"/>
    <n v="1"/>
    <s v="green"/>
    <n v="1"/>
    <s v="April 16th, 2024"/>
    <s v="Japan Coffee Exchange"/>
    <s v="〒413-0002 静岡県熱海市伊豆山１１７３−５８ 1173-58 Izusan, Atami, Shizuoka, 413-0002 JAPAN"/>
    <s v="松澤　宏樹　Koju Matsuzawa - +81(0)9085642901"/>
    <x v="1"/>
    <n v="19"/>
  </r>
  <r>
    <n v="101"/>
    <n v="101"/>
    <x v="1"/>
    <s v="N / A"/>
    <s v="3-0068-00886"/>
    <s v="Trilladora Popayán"/>
    <s v="ECOM COLOMBIA"/>
    <s v="1700"/>
    <n v="518"/>
    <s v="Convertido"/>
    <x v="14"/>
    <s v="Regional producers"/>
    <n v="285"/>
    <s v="70 kg"/>
    <s v="ASOCIACIÓN COLOMBIANA PARA LA EXCELENCIA DEL CAFE"/>
    <s v="2022 / 2023"/>
    <s v="February 22nd, 2023"/>
    <s v="Raúl Vargas"/>
    <s v="Caturra"/>
    <s v="Completed"/>
    <s v="Washed / Wet"/>
    <x v="11"/>
    <x v="10"/>
    <n v="7.42"/>
    <n v="7.58"/>
    <n v="7.92"/>
    <x v="10"/>
    <n v="10"/>
    <n v="10"/>
    <n v="10"/>
    <n v="7.58"/>
    <n v="83.83"/>
    <n v="12.1"/>
    <n v="2"/>
    <n v="5"/>
    <s v="green"/>
    <n v="5"/>
    <s v="February 22nd, 2024"/>
    <s v="ASOCIACIÓN COLOMBIANA PARA LA EXCELENCIA DEL CAFE"/>
    <s v="Calle 60A #3D-32 / Planta Baja / CQ Lab ASECC"/>
    <s v="Carlos Julian Ruiz - 3212026991"/>
    <x v="1"/>
    <n v="19"/>
  </r>
  <r>
    <n v="103"/>
    <n v="103"/>
    <x v="1"/>
    <s v="La Gallera"/>
    <s v="The 2022 Pacific Rim Coffee Summit,CO02"/>
    <s v="La Gallera"/>
    <s v="Taiwan Coffee Laboratory"/>
    <s v="1800"/>
    <n v="549"/>
    <s v="Convertido"/>
    <x v="9"/>
    <s v="Oscar Javier Paez &amp; Family"/>
    <n v="40"/>
    <s v="35 kg"/>
    <s v="Taiwan Coffee Laboratory 台灣咖啡研究室"/>
    <s v="2022"/>
    <s v="November 15th, 2022"/>
    <s v="PeiHsun Lin"/>
    <s v="Bourbon Sidra"/>
    <s v="Completed"/>
    <s v="Pulped natural / honey"/>
    <x v="10"/>
    <x v="1"/>
    <n v="7.67"/>
    <n v="7.58"/>
    <n v="7.67"/>
    <x v="10"/>
    <n v="10"/>
    <n v="10"/>
    <n v="10"/>
    <n v="7.58"/>
    <n v="83.75"/>
    <n v="10.6"/>
    <n v="0"/>
    <n v="0"/>
    <s v="greenish"/>
    <n v="1"/>
    <s v="November 15th, 2023"/>
    <s v="Taiwan Coffee Laboratory 台灣咖啡研究室"/>
    <s v="QAHWAH CO., LTD 4F, No. 225, Sec. 3, Beixin Rd., Xindian Dist. New Taipei City, Taiwan"/>
    <s v="Lin, Jen-An Neil 林仁安 - 886-289116612"/>
    <x v="1"/>
    <n v="19"/>
  </r>
  <r>
    <n v="105"/>
    <n v="105"/>
    <x v="1"/>
    <s v=""/>
    <s v=""/>
    <s v=""/>
    <s v="Coffee Quality Institute"/>
    <s v=""/>
    <e v="#VALUE!"/>
    <s v="Convertido"/>
    <x v="15"/>
    <s v=""/>
    <n v="1"/>
    <s v="1 kg"/>
    <s v="Barista and Coffee Academy of Asia"/>
    <s v="2022"/>
    <s v="September 26th, 2022"/>
    <s v="Coffee Quality Institute"/>
    <s v=""/>
    <s v="Completed"/>
    <s v=""/>
    <x v="0"/>
    <x v="10"/>
    <n v="7.5"/>
    <n v="7.58"/>
    <n v="7.67"/>
    <x v="10"/>
    <n v="10"/>
    <n v="10"/>
    <n v="10"/>
    <n v="7.67"/>
    <n v="83.67"/>
    <n v="12.4"/>
    <n v="1"/>
    <n v="0"/>
    <s v="greenish"/>
    <n v="9"/>
    <s v="September 26th, 2023"/>
    <s v="Barista and Coffee Academy of Asia"/>
    <s v="The Place Bldg., Tunasan, Muntinlupa City, Metro Manila ​Philippines"/>
    <s v="Rosario Cruz - +63 995 344 5688"/>
    <x v="1"/>
    <n v="19"/>
  </r>
  <r>
    <n v="114"/>
    <n v="114"/>
    <x v="1"/>
    <s v="La fortaleza"/>
    <s v="3-0104-00202 Popayán Supremo"/>
    <s v="Trilladora Pubenza"/>
    <s v="Cafe Colsuaves"/>
    <s v="1700"/>
    <n v="518"/>
    <s v="Convertido"/>
    <x v="16"/>
    <s v="La fortaleza"/>
    <n v="600"/>
    <s v="30 kg"/>
    <s v="ASOCIACIÓN COLOMBIANA PARA LA EXCELENCIA DEL CAFE"/>
    <s v="2022"/>
    <s v="January 18th, 2023"/>
    <s v="pablo velosa"/>
    <s v="Caturra"/>
    <s v="Completed"/>
    <s v="Washed / Wet"/>
    <x v="9"/>
    <x v="10"/>
    <n v="7.5"/>
    <n v="7.58"/>
    <n v="7.83"/>
    <x v="1"/>
    <n v="10"/>
    <n v="10"/>
    <n v="10"/>
    <n v="7.58"/>
    <n v="83.5"/>
    <n v="12.2"/>
    <n v="0"/>
    <n v="0"/>
    <s v="bluish-green"/>
    <n v="2"/>
    <s v="January 18th, 2024"/>
    <s v="ASOCIACIÓN COLOMBIANA PARA LA EXCELENCIA DEL CAFE"/>
    <s v="Calle 60A #3D-32 / Planta Baja / CQ Lab ASECC"/>
    <s v="Carlos Julian Ruiz - 3212026991"/>
    <x v="1"/>
    <n v="19"/>
  </r>
  <r>
    <n v="124"/>
    <n v="124"/>
    <x v="1"/>
    <s v="El Laurel"/>
    <s v="1"/>
    <s v="Hulling facility"/>
    <s v="Minka coffee company LTD"/>
    <s v="1100"/>
    <n v="335"/>
    <s v="Convertido"/>
    <x v="11"/>
    <s v="Eric SELLIN"/>
    <n v="2"/>
    <s v="1 kg"/>
    <s v="FABB Academy of Coffee"/>
    <s v="2021 / 2022"/>
    <s v="September 30th, 2022"/>
    <s v="piradaPKPL"/>
    <s v="Caturra"/>
    <s v="Completed"/>
    <s v="Washed / Wet"/>
    <x v="10"/>
    <x v="12"/>
    <n v="7.42"/>
    <n v="7.75"/>
    <n v="7.5"/>
    <x v="11"/>
    <n v="10"/>
    <n v="10"/>
    <n v="10"/>
    <n v="7.58"/>
    <n v="83.33"/>
    <n v="13.5"/>
    <n v="0"/>
    <n v="0"/>
    <s v="greenish"/>
    <n v="0"/>
    <s v="September 30th, 2023"/>
    <s v="FABB Academy of Coffee"/>
    <s v="FABB ACADEMY OF COFFEE 259/313 SUKHUMVIT 71 RD., SOI PRIDI BANOMYONG 15, VHADANA BKK, 10110 THAILAND"/>
    <s v="Janejira Kamonsawedkun - +(66) 095 095 9593"/>
    <x v="1"/>
    <n v="19"/>
  </r>
  <r>
    <n v="131"/>
    <n v="131"/>
    <x v="1"/>
    <s v="Buenos Aires"/>
    <s v="CQU2023003"/>
    <s v="Buenos Aires"/>
    <s v="Coffee Quality Union"/>
    <s v="1390"/>
    <n v="424"/>
    <s v="Convertido"/>
    <x v="10"/>
    <s v="Chucho Bedoya"/>
    <n v="2"/>
    <s v="12 kg"/>
    <s v="Japan Coffee Exchange"/>
    <s v="2022"/>
    <s v="April 7th, 2023"/>
    <s v="Coffee Quality Union"/>
    <s v="Red Bourbon,Caturra"/>
    <s v="Completed"/>
    <s v="Anaerobico 1000h"/>
    <x v="10"/>
    <x v="12"/>
    <n v="7.58"/>
    <n v="7.67"/>
    <n v="7.58"/>
    <x v="12"/>
    <n v="10"/>
    <n v="10"/>
    <n v="10"/>
    <n v="7.5"/>
    <n v="83.25"/>
    <n v="10.9"/>
    <n v="0"/>
    <n v="0"/>
    <s v="brownish"/>
    <n v="2"/>
    <s v="April 6th, 2024"/>
    <s v="Japan Coffee Exchange"/>
    <s v="〒413-0002 静岡県熱海市伊豆山１１７３−５８ 1173-58 Izusan, Atami, Shizuoka, 413-0002 JAPAN"/>
    <s v="松澤　宏樹　Koju Matsuzawa - +81(0)9085642901"/>
    <x v="1"/>
    <n v="19"/>
  </r>
  <r>
    <n v="139"/>
    <n v="139"/>
    <x v="1"/>
    <s v="EL PRADO"/>
    <s v="3-59-0654"/>
    <s v="NEIVA"/>
    <s v="carcafe ltda"/>
    <s v="1650"/>
    <n v="503"/>
    <s v="Convertido"/>
    <x v="12"/>
    <s v="FRANKLIN DUSSAN"/>
    <n v="600"/>
    <s v="30 kg"/>
    <s v="ASOCIACIÓN COLOMBIANA PARA LA EXCELENCIA DEL CAFE"/>
    <s v="2022 / 2023"/>
    <s v="January 13th, 2023"/>
    <s v="rodrigo amaya"/>
    <s v="Caturra"/>
    <s v="Completed"/>
    <s v="Washed / Wet"/>
    <x v="12"/>
    <x v="12"/>
    <n v="7.42"/>
    <n v="7.58"/>
    <n v="7.58"/>
    <x v="2"/>
    <n v="10"/>
    <n v="10"/>
    <n v="10"/>
    <n v="7.33"/>
    <n v="83"/>
    <n v="13.1"/>
    <n v="0"/>
    <n v="0"/>
    <s v="bluish-green"/>
    <n v="1"/>
    <s v="January 13th, 2024"/>
    <s v="ASOCIACIÓN COLOMBIANA PARA LA EXCELENCIA DEL CAFE"/>
    <s v="Calle 60A #3D-32 / Planta Baja / CQ Lab ASECC"/>
    <s v="Carlos Julian Ruiz - 3212026991"/>
    <x v="1"/>
    <n v="19"/>
  </r>
  <r>
    <n v="142"/>
    <n v="142"/>
    <x v="1"/>
    <s v="La Argentina"/>
    <s v="CQU2022013"/>
    <s v="La Argentina"/>
    <s v="Coffee Quality Union"/>
    <s v="1350"/>
    <n v="411"/>
    <s v="Convertido"/>
    <x v="10"/>
    <s v="Augusto Torres"/>
    <n v="1"/>
    <s v="12 kg"/>
    <s v="Japan Coffee Exchange"/>
    <s v="2021 / 2022"/>
    <s v="June 16th, 2022"/>
    <s v="Coffee Quality Union"/>
    <s v="Typica Gesha"/>
    <s v="Completed"/>
    <s v="Washed / Wet"/>
    <x v="1"/>
    <x v="2"/>
    <n v="7.5"/>
    <n v="7.67"/>
    <n v="7.58"/>
    <x v="1"/>
    <n v="10"/>
    <n v="10"/>
    <n v="10"/>
    <n v="7.58"/>
    <n v="82.92"/>
    <n v="11.5"/>
    <n v="0"/>
    <n v="1"/>
    <s v="greenish"/>
    <n v="3"/>
    <s v="June 16th, 2023"/>
    <s v="Japan Coffee Exchange"/>
    <s v="〒413-0002 静岡県熱海市伊豆山１１７３−５８ 1173-58 Izusan, Atami, Shizuoka, 413-0002 JAPAN"/>
    <s v="松澤　宏樹　Koju Matsuzawa - +81(0)9085642901"/>
    <x v="1"/>
    <n v="19"/>
  </r>
  <r>
    <n v="149"/>
    <n v="149"/>
    <x v="1"/>
    <s v="Federación Nacional de Cafeteros de Colombia"/>
    <s v="3/01/12857"/>
    <s v="Federación Nacional de Cafeteros de Colombia"/>
    <s v="NIPPON COFFEE TRADING CO.,LTD."/>
    <s v="1700"/>
    <n v="518"/>
    <s v="Convertido"/>
    <x v="12"/>
    <s v="Federación Nacional de Cafeteros de Colombia"/>
    <n v="250"/>
    <s v="70 kg"/>
    <s v="Japan Coffee Exchange"/>
    <s v="2022"/>
    <s v="July 11th, 2022"/>
    <s v="Yukinobu Ueda"/>
    <s v="Caturra"/>
    <s v="Completed"/>
    <s v="Washed / Wet"/>
    <x v="1"/>
    <x v="12"/>
    <n v="7.58"/>
    <n v="7.5"/>
    <n v="7.33"/>
    <x v="1"/>
    <n v="10"/>
    <n v="10"/>
    <n v="10"/>
    <n v="7.5"/>
    <n v="82.67"/>
    <n v="11.8"/>
    <n v="0"/>
    <n v="1"/>
    <s v="green"/>
    <n v="2"/>
    <s v="July 11th, 2023"/>
    <s v="Japan Coffee Exchange"/>
    <s v="〒413-0002 静岡県熱海市伊豆山１１７３−５８ 1173-58 Izusan, Atami, Shizuoka, 413-0002 JAPAN"/>
    <s v="松澤　宏樹　Koju Matsuzawa - +81(0)9085642901"/>
    <x v="1"/>
    <n v="19"/>
  </r>
  <r>
    <n v="185"/>
    <n v="185"/>
    <x v="1"/>
    <s v="More than one"/>
    <s v="1"/>
    <s v="Trilladora CCA Buga"/>
    <s v="Mr.Brown Cafe"/>
    <s v="1574"/>
    <n v="480"/>
    <s v="Convertido"/>
    <x v="17"/>
    <s v="More than one"/>
    <n v="275"/>
    <s v="70 kg"/>
    <s v="Taiwan Coffee Laboratory 台灣咖啡研究室"/>
    <s v="2021"/>
    <s v="December 30th, 2022"/>
    <s v="MR.BROWN CAFE"/>
    <s v="Santander"/>
    <s v="Completed"/>
    <s v="Washed / Wet"/>
    <x v="13"/>
    <x v="2"/>
    <n v="7.33"/>
    <n v="7.42"/>
    <n v="7.42"/>
    <x v="2"/>
    <n v="10"/>
    <n v="10"/>
    <n v="10"/>
    <n v="7.33"/>
    <n v="81.75"/>
    <n v="11.2"/>
    <n v="0"/>
    <n v="0"/>
    <s v="yellow-green"/>
    <n v="0"/>
    <s v="December 30th, 2023"/>
    <s v="Taiwan Coffee Laboratory 台灣咖啡研究室"/>
    <s v="QAHWAH CO., LTD 4F, No. 225, Sec. 3, Beixin Rd., Xindian Dist. New Taipei City, Taiwan"/>
    <s v="Lin, Jen-An Neil 林仁安 - 886-289116612"/>
    <x v="1"/>
    <n v="19"/>
  </r>
  <r>
    <n v="193"/>
    <n v="193"/>
    <x v="1"/>
    <s v="Escalera"/>
    <s v="CQU2022019"/>
    <s v="Escalera"/>
    <s v="Coffee Quality Union"/>
    <s v="1300-1800"/>
    <e v="#VALUE!"/>
    <s v="Convertido"/>
    <x v="14"/>
    <s v="Escalera"/>
    <n v="1"/>
    <s v="30 kg"/>
    <s v="Japan Coffee Exchange"/>
    <s v="2021 / 2022"/>
    <s v="December 22nd, 2022"/>
    <s v="Coffee Quality Union"/>
    <s v="Caturra,Colombia,Castillo"/>
    <s v="Completed"/>
    <s v="Washed / Wet"/>
    <x v="3"/>
    <x v="13"/>
    <n v="7.25"/>
    <n v="7.42"/>
    <n v="7.17"/>
    <x v="3"/>
    <n v="10"/>
    <n v="10"/>
    <n v="10"/>
    <n v="7.33"/>
    <n v="81.17"/>
    <n v="11.4"/>
    <n v="0"/>
    <n v="2"/>
    <s v="greenish"/>
    <n v="2"/>
    <s v="December 22nd, 2023"/>
    <s v="Japan Coffee Exchange"/>
    <s v="〒413-0002 静岡県熱海市伊豆山１１７３−５８ 1173-58 Izusan, Atami, Shizuoka, 413-0002 JAPAN"/>
    <s v="松澤　宏樹　Koju Matsuzawa - +81(0)9085642901"/>
    <x v="1"/>
    <n v="19"/>
  </r>
  <r>
    <n v="198"/>
    <n v="198"/>
    <x v="1"/>
    <s v="Finca Mallorca"/>
    <s v="CQU2023001"/>
    <s v="Finca Mallorca"/>
    <s v="Coffee Quality Union"/>
    <s v="1600"/>
    <n v="488"/>
    <s v="Convertido"/>
    <x v="18"/>
    <s v="Finca Mallorca"/>
    <n v="3"/>
    <s v="10 kg"/>
    <s v="Japan Coffee Exchange"/>
    <s v="2022"/>
    <s v="March 6th, 2023"/>
    <s v="Coffee Quality Union"/>
    <s v="Castillo,Caturra,Bourbon"/>
    <s v="Completed"/>
    <s v="Washed / Wet"/>
    <x v="4"/>
    <x v="13"/>
    <n v="7.17"/>
    <n v="7.33"/>
    <n v="7"/>
    <x v="5"/>
    <n v="10"/>
    <n v="10"/>
    <n v="10"/>
    <n v="7.25"/>
    <n v="80.42"/>
    <n v="11"/>
    <n v="0"/>
    <n v="3"/>
    <s v="greenish"/>
    <n v="3"/>
    <s v="March 5th, 2024"/>
    <s v="Japan Coffee Exchange"/>
    <s v="〒413-0002 静岡県熱海市伊豆山１１７３−５８ 1173-58 Izusan, Atami, Shizuoka, 413-0002 JAPAN"/>
    <s v="松澤　宏樹　Koju Matsuzawa - +81(0)9085642901"/>
    <x v="1"/>
    <n v="19"/>
  </r>
  <r>
    <n v="3"/>
    <n v="3"/>
    <x v="2"/>
    <s v="La Cumbre"/>
    <s v="CQU2022017"/>
    <s v="La Montana Tarrazu MIll"/>
    <s v="Coffee Quality Union"/>
    <s v="1900"/>
    <n v="579"/>
    <s v="Convertido"/>
    <x v="19"/>
    <s v="Santa Maria de Dota"/>
    <n v="1"/>
    <s v="22 kg"/>
    <s v="Japan Coffee Exchange"/>
    <s v="2022"/>
    <s v="September 21st, 2022"/>
    <s v="Coffee Quality Union"/>
    <s v="Gesha"/>
    <s v="Completed"/>
    <s v="Washed / Wet"/>
    <x v="8"/>
    <x v="14"/>
    <n v="8.17"/>
    <n v="8.25"/>
    <n v="8.17"/>
    <x v="13"/>
    <n v="10"/>
    <n v="10"/>
    <n v="10"/>
    <n v="8.25"/>
    <n v="87.17"/>
    <n v="11.8"/>
    <n v="0"/>
    <n v="0"/>
    <s v="green"/>
    <n v="0"/>
    <s v="September 21st, 2023"/>
    <s v="Japan Coffee Exchange"/>
    <s v="〒413-0002 静岡県熱海市伊豆山１１７３−５８ 1173-58 Izusan, Atami, Shizuoka, 413-0002 JAPAN"/>
    <s v="松澤　宏樹　Koju Matsuzawa - +81(0)9085642901"/>
    <x v="2"/>
    <n v="8"/>
  </r>
  <r>
    <n v="61"/>
    <n v="61"/>
    <x v="2"/>
    <s v="Gamboa Farm"/>
    <s v="12075"/>
    <s v="Beneficio Montañas del Diamante"/>
    <s v="CECA S.A."/>
    <s v="1850"/>
    <n v="564"/>
    <s v="Convertido"/>
    <x v="20"/>
    <s v="Martin Gutierrez"/>
    <n v="260"/>
    <s v="69 kg"/>
    <s v="Specialty Coffee Association of Costa Rica"/>
    <s v="2022 / 2023"/>
    <s v="April 19th, 2023"/>
    <s v="Joselyn Morales Quesada"/>
    <s v="Caturra"/>
    <s v="Completed"/>
    <s v="Washed / Wet"/>
    <x v="1"/>
    <x v="11"/>
    <n v="7.5"/>
    <n v="7.67"/>
    <n v="7.83"/>
    <x v="10"/>
    <n v="10"/>
    <n v="10"/>
    <n v="10"/>
    <n v="8.58"/>
    <n v="84.67"/>
    <n v="10"/>
    <n v="0"/>
    <n v="1"/>
    <s v="green"/>
    <n v="2"/>
    <s v="April 18th, 2024"/>
    <s v="Specialty Coffee Association of Costa Rica"/>
    <s v="Blvd Rohrmoser, de Prisma Dental 200 norte y 25 oeste, casa 21"/>
    <s v="Noelia Villalobos - (506) 2220 0685"/>
    <x v="2"/>
    <n v="8"/>
  </r>
  <r>
    <n v="68"/>
    <n v="68"/>
    <x v="2"/>
    <s v="La Cumbre"/>
    <s v="CQU2022018"/>
    <s v="La Montana Tarrazu MIll"/>
    <s v="Coffee Quality Union"/>
    <s v="1900"/>
    <n v="579"/>
    <s v="Convertido"/>
    <x v="19"/>
    <s v="Santa Maria de Dota"/>
    <n v="1"/>
    <s v="22 kg"/>
    <s v="Japan Coffee Exchange"/>
    <s v="2022"/>
    <s v="October 4th, 2022"/>
    <s v="Coffee Quality Union"/>
    <s v="Gesha"/>
    <s v="Completed"/>
    <s v="Washed / Wet"/>
    <x v="9"/>
    <x v="11"/>
    <n v="7.67"/>
    <n v="7.83"/>
    <n v="7.75"/>
    <x v="11"/>
    <n v="10"/>
    <n v="10"/>
    <n v="10"/>
    <n v="7.92"/>
    <n v="84.5"/>
    <n v="11.7"/>
    <n v="0"/>
    <n v="1"/>
    <s v="green"/>
    <n v="0"/>
    <s v="October 4th, 2023"/>
    <s v="Japan Coffee Exchange"/>
    <s v="〒413-0002 静岡県熱海市伊豆山１１７３−５８ 1173-58 Izusan, Atami, Shizuoka, 413-0002 JAPAN"/>
    <s v="松澤　宏樹　Koju Matsuzawa - +81(0)9085642901"/>
    <x v="2"/>
    <n v="8"/>
  </r>
  <r>
    <n v="93"/>
    <n v="93"/>
    <x v="2"/>
    <s v="Gamboa Farm"/>
    <s v="12077-01"/>
    <s v="Beneficio Montañas del Diamante"/>
    <s v="CECA S.A."/>
    <s v="1850"/>
    <n v="564"/>
    <s v="Convertido"/>
    <x v="20"/>
    <s v="Martin Gutierrez"/>
    <n v="250"/>
    <s v="35 kg"/>
    <s v="Specialty Coffee Association of Costa Rica"/>
    <s v="2022 / 2023"/>
    <s v="April 19th, 2023"/>
    <s v="Joselyn Morales Quesada"/>
    <s v="Caturra"/>
    <s v="Completed"/>
    <s v="Washed / Wet"/>
    <x v="10"/>
    <x v="1"/>
    <n v="7.58"/>
    <n v="7.75"/>
    <n v="7.67"/>
    <x v="12"/>
    <n v="10"/>
    <n v="10"/>
    <n v="10"/>
    <n v="7.75"/>
    <n v="83.92"/>
    <n v="9.5"/>
    <n v="0"/>
    <n v="0"/>
    <s v="green"/>
    <n v="2"/>
    <s v="April 18th, 2024"/>
    <s v="Specialty Coffee Association of Costa Rica"/>
    <s v="Blvd Rohrmoser, de Prisma Dental 200 norte y 25 oeste, casa 21"/>
    <s v="Noelia Villalobos - (506) 2220 0685"/>
    <x v="2"/>
    <n v="8"/>
  </r>
  <r>
    <n v="125"/>
    <n v="125"/>
    <x v="2"/>
    <s v="Gamboa Farm"/>
    <s v="12074"/>
    <s v="Beneficio Montañas del Diamante"/>
    <s v="CECA S.A."/>
    <s v="1850"/>
    <n v="564"/>
    <s v="Convertido"/>
    <x v="20"/>
    <s v="Martin Gutierrez"/>
    <n v="320"/>
    <s v="69 kg"/>
    <s v="Specialty Coffee Association of Costa Rica"/>
    <s v="2022 / 2023"/>
    <s v="April 19th, 2023"/>
    <s v="Joselyn Morales Quesada"/>
    <s v="Caturra"/>
    <s v="Completed"/>
    <s v="Washed / Wet"/>
    <x v="1"/>
    <x v="10"/>
    <n v="7.42"/>
    <n v="7.67"/>
    <n v="7.5"/>
    <x v="11"/>
    <n v="10"/>
    <n v="10"/>
    <n v="10"/>
    <n v="7.67"/>
    <n v="83.33"/>
    <n v="0"/>
    <n v="0"/>
    <n v="0"/>
    <s v="green"/>
    <n v="3"/>
    <s v="April 18th, 2024"/>
    <s v="Specialty Coffee Association of Costa Rica"/>
    <s v="Blvd Rohrmoser, de Prisma Dental 200 norte y 25 oeste, casa 21"/>
    <s v="Noelia Villalobos - (506) 2220 0685"/>
    <x v="2"/>
    <n v="8"/>
  </r>
  <r>
    <n v="148"/>
    <n v="148"/>
    <x v="2"/>
    <s v="AMA EL AROMA Micro lot - Sunrise"/>
    <s v="The 2022 Pacific Rim Coffee Summit,CR01"/>
    <s v="Micro mill"/>
    <s v="Taiwan Coffee Laboratory"/>
    <s v="1450"/>
    <n v="442"/>
    <s v="Convertido"/>
    <x v="21"/>
    <s v="various producers"/>
    <n v="10"/>
    <s v="30 kg"/>
    <s v="Taiwan Coffee Laboratory 台灣咖啡研究室"/>
    <s v="2021"/>
    <s v="November 15th, 2022"/>
    <s v="Taiwan Coffee Laboratory 台灣咖啡研究室"/>
    <s v="SL28"/>
    <s v="Completed"/>
    <s v="Pulped natural / honey"/>
    <x v="13"/>
    <x v="2"/>
    <n v="7.25"/>
    <n v="7.92"/>
    <n v="7.75"/>
    <x v="12"/>
    <n v="10"/>
    <n v="10"/>
    <n v="10"/>
    <n v="7.42"/>
    <n v="82.75"/>
    <n v="11.8"/>
    <n v="0"/>
    <n v="0"/>
    <s v="pale yellow"/>
    <n v="1"/>
    <s v="November 15th, 2023"/>
    <s v="Taiwan Coffee Laboratory 台灣咖啡研究室"/>
    <s v="QAHWAH CO., LTD 4F, No. 225, Sec. 3, Beixin Rd., Xindian Dist. New Taipei City, Taiwan"/>
    <s v="Lin, Jen-An Neil 林仁安 - 886-289116612"/>
    <x v="2"/>
    <n v="8"/>
  </r>
  <r>
    <n v="176"/>
    <n v="176"/>
    <x v="2"/>
    <s v="San Diego Mill"/>
    <s v="S019194 - P04178"/>
    <s v="Dosmil"/>
    <s v="Beneficios Volcafé Costa Rica"/>
    <s v="1500"/>
    <n v="457"/>
    <s v="Convertido"/>
    <x v="22"/>
    <s v="San Diego Mill"/>
    <n v="500"/>
    <s v="30 kg"/>
    <s v="Specialty Coffee Association of Costa Rica"/>
    <s v="2018 / 2019"/>
    <s v="March 29th, 2023"/>
    <s v="Volcafe Japan"/>
    <s v="Caturra"/>
    <s v="Completed"/>
    <s v="Washed / Wet"/>
    <x v="3"/>
    <x v="4"/>
    <n v="7.42"/>
    <n v="7.33"/>
    <n v="7.58"/>
    <x v="3"/>
    <n v="10"/>
    <n v="10"/>
    <n v="10"/>
    <n v="7.5"/>
    <n v="82"/>
    <n v="10.5"/>
    <n v="1"/>
    <n v="2"/>
    <s v="green"/>
    <n v="8"/>
    <s v="March 28th, 2024"/>
    <s v="Specialty Coffee Association of Costa Rica"/>
    <s v="Blvd Rohrmoser, de Prisma Dental 200 norte y 25 oeste, casa 21"/>
    <s v="Noelia Villalobos - (506) 2220 0685"/>
    <x v="2"/>
    <n v="8"/>
  </r>
  <r>
    <n v="187"/>
    <n v="187"/>
    <x v="2"/>
    <s v="HACIENDA SAN IGNACIO"/>
    <s v="OIC 5-019-0037/ Contenedor: DRYU3106597 / Cliente: O COFFEE"/>
    <s v="Beneficio La Giorgia"/>
    <s v="Grupo ECOM"/>
    <s v="1200"/>
    <n v="366"/>
    <s v="Convertido"/>
    <x v="23"/>
    <s v="FJO ORLICH HNO LTDA"/>
    <n v="100"/>
    <s v="69 kg"/>
    <s v="Specialty Coffee Association of Costa Rica"/>
    <s v="2022 / 2023"/>
    <s v="March 29th, 2023"/>
    <s v="Ruddy Azofeifa"/>
    <s v="Caturra"/>
    <s v="Completed"/>
    <s v="Washed / Wet"/>
    <x v="13"/>
    <x v="4"/>
    <n v="7.25"/>
    <n v="7.42"/>
    <n v="7.42"/>
    <x v="3"/>
    <n v="10"/>
    <n v="10"/>
    <n v="10"/>
    <n v="7.42"/>
    <n v="81.58"/>
    <n v="9.6999999999999993"/>
    <n v="0"/>
    <n v="2"/>
    <s v="green"/>
    <n v="4"/>
    <s v="March 28th, 2024"/>
    <s v="Specialty Coffee Association of Costa Rica"/>
    <s v="Blvd Rohrmoser, de Prisma Dental 200 norte y 25 oeste, casa 21"/>
    <s v="Noelia Villalobos - (506) 2220 0685"/>
    <x v="2"/>
    <n v="8"/>
  </r>
  <r>
    <n v="77"/>
    <n v="77"/>
    <x v="3"/>
    <s v="San Nicolas"/>
    <s v="The 2022 Pacific Rim Coffee Summit,SV01"/>
    <s v="San Nicolas"/>
    <s v="Taiwan Coffee Laboratory"/>
    <s v="1500"/>
    <n v="457"/>
    <s v="Convertido"/>
    <x v="24"/>
    <s v="various producers"/>
    <n v="20"/>
    <s v="30 kg"/>
    <s v="Taiwan Coffee Laboratory 台灣咖啡研究室"/>
    <s v="2021"/>
    <s v="November 15th, 2022"/>
    <s v="Taiwan Coffee Laboratory 台灣咖啡研究室"/>
    <s v="Pacamara"/>
    <s v="Completed"/>
    <s v="Pulped natural / honey"/>
    <x v="0"/>
    <x v="11"/>
    <n v="7.83"/>
    <n v="7.83"/>
    <n v="7.67"/>
    <x v="10"/>
    <n v="10"/>
    <n v="10"/>
    <n v="10"/>
    <n v="7.67"/>
    <n v="84.33"/>
    <n v="10.3"/>
    <n v="0"/>
    <n v="0"/>
    <s v="brownish"/>
    <n v="4"/>
    <s v="November 15th, 2023"/>
    <s v="Taiwan Coffee Laboratory 台灣咖啡研究室"/>
    <s v="QAHWAH CO., LTD 4F, No. 225, Sec. 3, Beixin Rd., Xindian Dist. New Taipei City, Taiwan"/>
    <s v="Lin, Jen-An Neil 林仁安 - 886-289116612"/>
    <x v="3"/>
    <n v="7"/>
  </r>
  <r>
    <n v="156"/>
    <n v="156"/>
    <x v="3"/>
    <s v="Agua Caliente"/>
    <s v="1-26"/>
    <s v="Agua Caliente"/>
    <s v="Consejo Salvadoreño del Café"/>
    <s v="1200"/>
    <n v="366"/>
    <s v="Convertido"/>
    <x v="25"/>
    <s v="J.J. Borja Nathan, S.A."/>
    <n v="600"/>
    <s v="30 kg"/>
    <s v="Salvadoran Coffee Council"/>
    <s v="2022 / 2023"/>
    <s v="March 3rd, 2023"/>
    <s v="Consejo Salvadoreño del Café"/>
    <s v="Bourbon"/>
    <s v="Completed"/>
    <s v="Washed / Wet"/>
    <x v="10"/>
    <x v="15"/>
    <n v="7.17"/>
    <n v="7.67"/>
    <n v="7.83"/>
    <x v="1"/>
    <n v="10"/>
    <n v="10"/>
    <n v="10"/>
    <n v="7.33"/>
    <n v="82.5"/>
    <n v="11.3"/>
    <n v="0"/>
    <n v="0"/>
    <s v="green"/>
    <n v="2"/>
    <s v="March 2nd, 2024"/>
    <s v="Salvadoran Coffee Council"/>
    <s v="Final 1a. Av. Norte y 13 Calle Pte., dentro de las instalaciones del MAG"/>
    <s v="Tomas Bonilla - (503) 2505-6600"/>
    <x v="3"/>
    <n v="7"/>
  </r>
  <r>
    <n v="165"/>
    <n v="165"/>
    <x v="3"/>
    <s v="Agua Caliente"/>
    <s v="1-26"/>
    <s v="Agua Caliente"/>
    <s v="Consejo Salvadoreño del Café"/>
    <s v="1200"/>
    <n v="366"/>
    <s v="Convertido"/>
    <x v="25"/>
    <s v="J.J. Borja Nathan, S.A."/>
    <n v="600"/>
    <s v="30 kg"/>
    <s v="Salvadoran Coffee Council"/>
    <s v="2022 / 2023"/>
    <s v="February 21st, 2023"/>
    <s v="Consejo Salvadoreño del Café"/>
    <s v="Bourbon"/>
    <s v="Completed"/>
    <s v="Washed / Wet"/>
    <x v="2"/>
    <x v="2"/>
    <n v="7.42"/>
    <n v="7.42"/>
    <n v="7.42"/>
    <x v="10"/>
    <n v="10"/>
    <n v="10"/>
    <n v="10"/>
    <n v="7.42"/>
    <n v="82.33"/>
    <n v="12"/>
    <n v="0"/>
    <n v="7"/>
    <s v="green"/>
    <n v="10"/>
    <s v="February 21st, 2024"/>
    <s v="Salvadoran Coffee Council"/>
    <s v="Final 1a. Av. Norte y 13 Calle Pte., dentro de las instalaciones del MAG"/>
    <s v="Tomas Bonilla - (503) 2505-6600"/>
    <x v="3"/>
    <n v="7"/>
  </r>
  <r>
    <n v="166"/>
    <n v="166"/>
    <x v="3"/>
    <s v="Agua Caliente"/>
    <s v="1-74"/>
    <s v="Agua Caliente"/>
    <s v="Consejo Salvadoreño del Café"/>
    <s v="1200"/>
    <n v="366"/>
    <s v="Convertido"/>
    <x v="25"/>
    <s v="J.J. Borja Nathan, S.A."/>
    <n v="275"/>
    <s v="69 kg"/>
    <s v="Salvadoran Coffee Council"/>
    <s v="2021 / 2022"/>
    <s v="July 7th, 2022"/>
    <s v="Consejo Salvadoreño del Café"/>
    <s v="Bourbon"/>
    <s v="Completed"/>
    <s v="Washed / Wet"/>
    <x v="13"/>
    <x v="12"/>
    <n v="7.25"/>
    <n v="7.67"/>
    <n v="7.83"/>
    <x v="2"/>
    <n v="10"/>
    <n v="10"/>
    <n v="10"/>
    <n v="7.17"/>
    <n v="82.33"/>
    <n v="11.8"/>
    <n v="0"/>
    <n v="0"/>
    <s v="bluish-green"/>
    <n v="0"/>
    <s v="July 7th, 2023"/>
    <s v="Salvadoran Coffee Council"/>
    <s v="Final 1a. Av. Norte y 13 Calle Pte., dentro de las instalaciones del MAG"/>
    <s v="Tomas Bonilla - (503) 2505-6600"/>
    <x v="3"/>
    <n v="7"/>
  </r>
  <r>
    <n v="195"/>
    <n v="195"/>
    <x v="3"/>
    <s v="Rosario de Maria II, Area de Loma Alta"/>
    <s v="0623C01"/>
    <s v="Optimum Coffee, San Salvador, El Salvador"/>
    <s v="Aprentium Enterprises LLC"/>
    <s v="1400"/>
    <n v="427"/>
    <s v="Convertido"/>
    <x v="26"/>
    <s v="Roselia Yglesias"/>
    <n v="1"/>
    <s v="2 kg"/>
    <s v="Salvadoran Coffee Council"/>
    <s v="2023"/>
    <s v="March 8th, 2023"/>
    <s v="Roselia Yglesias"/>
    <s v="Bourbon"/>
    <s v="Completed"/>
    <s v="Natural / Dry"/>
    <x v="3"/>
    <x v="15"/>
    <n v="7.33"/>
    <n v="7.5"/>
    <n v="7.08"/>
    <x v="14"/>
    <n v="10"/>
    <n v="10"/>
    <n v="10"/>
    <n v="7.17"/>
    <n v="80.83"/>
    <n v="10.5"/>
    <n v="0"/>
    <n v="8"/>
    <s v="bluish-green"/>
    <n v="7"/>
    <s v="March 7th, 2024"/>
    <s v="Salvadoran Coffee Council"/>
    <s v="Final 1a. Av. Norte y 13 Calle Pte., dentro de las instalaciones del MAG"/>
    <s v="Tomas Bonilla - (503) 2505-6600"/>
    <x v="3"/>
    <n v="7"/>
  </r>
  <r>
    <n v="200"/>
    <n v="200"/>
    <x v="3"/>
    <s v="Rosario de Maria II, Area de Menjivar"/>
    <s v="0523B01"/>
    <s v="Optimum Coffee, San Salvador, El Salvador"/>
    <s v="Aprentium Enterprises LLC"/>
    <s v="1300"/>
    <n v="396"/>
    <s v="Convertido"/>
    <x v="26"/>
    <s v="Roselia Yglesias"/>
    <n v="1"/>
    <s v="2 kg"/>
    <s v="Salvadoran Coffee Council"/>
    <s v="2023"/>
    <s v="March 8th, 2023"/>
    <s v="Roselia Yglesias"/>
    <s v="Pacas"/>
    <s v="Completed"/>
    <s v="Natural / Dry"/>
    <x v="14"/>
    <x v="13"/>
    <n v="7.08"/>
    <n v="7.42"/>
    <n v="7.42"/>
    <x v="15"/>
    <n v="10"/>
    <n v="10"/>
    <n v="10"/>
    <n v="7"/>
    <n v="80.33"/>
    <n v="11.5"/>
    <n v="0"/>
    <n v="10"/>
    <s v="bluish-green"/>
    <n v="7"/>
    <s v="March 7th, 2024"/>
    <s v="Salvadoran Coffee Council"/>
    <s v="Final 1a. Av. Norte y 13 Calle Pte., dentro de las instalaciones del MAG"/>
    <s v="Tomas Bonilla - (503) 2505-6600"/>
    <x v="3"/>
    <n v="7"/>
  </r>
  <r>
    <n v="205"/>
    <n v="205"/>
    <x v="3"/>
    <s v="Rosario de Maria II, Area de La Pila"/>
    <s v="0423A01"/>
    <s v="Optimum Coffee, San Salvador, El Salvador"/>
    <s v="Aprentium Enterprises LLC"/>
    <s v="1200"/>
    <n v="366"/>
    <s v="Convertido"/>
    <x v="27"/>
    <s v="Roselia Yglesias"/>
    <n v="1"/>
    <s v="2 kg"/>
    <s v="Salvadoran Coffee Council"/>
    <s v="2023"/>
    <s v="March 8th, 2023"/>
    <s v="Roselia Yglesias"/>
    <s v="Maragogype"/>
    <s v="Completed"/>
    <s v="Natural / Dry"/>
    <x v="15"/>
    <x v="16"/>
    <n v="6.75"/>
    <n v="7.17"/>
    <n v="7.08"/>
    <x v="14"/>
    <n v="10"/>
    <n v="10"/>
    <n v="10"/>
    <n v="6.83"/>
    <n v="78.08"/>
    <n v="11"/>
    <n v="0"/>
    <n v="12"/>
    <s v="bluish-green"/>
    <n v="13"/>
    <s v="March 7th, 2024"/>
    <s v="Salvadoran Coffee Council"/>
    <s v="Final 1a. Av. Norte y 13 Calle Pte., dentro de las instalaciones del MAG"/>
    <s v="Tomas Bonilla - (503) 2505-6600"/>
    <x v="3"/>
    <n v="7"/>
  </r>
  <r>
    <n v="10"/>
    <n v="10"/>
    <x v="4"/>
    <s v="TADE GG"/>
    <s v="010/0296/600"/>
    <s v="Moledo社　委託精選場"/>
    <s v="Marubeni corp.,"/>
    <s v="1800-2200"/>
    <e v="#VALUE!"/>
    <s v="Convertido"/>
    <x v="28"/>
    <s v="Tesfaye Bekele Degaga"/>
    <n v="10"/>
    <s v="30 kg"/>
    <s v="Japan Coffee Exchange"/>
    <s v="2021 / 2022"/>
    <s v="May 31st, 2022"/>
    <s v="ERI ASAEDA"/>
    <s v="Ethiopian Heirlooms"/>
    <s v="Completed"/>
    <s v="Natural / Dry"/>
    <x v="8"/>
    <x v="17"/>
    <n v="8"/>
    <n v="8.08"/>
    <n v="7.92"/>
    <x v="8"/>
    <n v="10"/>
    <n v="10"/>
    <n v="10"/>
    <n v="8"/>
    <n v="86.25"/>
    <n v="11.8"/>
    <n v="0"/>
    <n v="1"/>
    <s v="greenish"/>
    <n v="1"/>
    <s v="May 31st, 2023"/>
    <s v="Japan Coffee Exchange"/>
    <s v="〒413-0002 静岡県熱海市伊豆山１１７３−５８ 1173-58 Izusan, Atami, Shizuoka, 413-0002 JAPAN"/>
    <s v="松澤　宏樹　Koju Matsuzawa - +81(0)9085642901"/>
    <x v="4"/>
    <n v="11"/>
  </r>
  <r>
    <n v="13"/>
    <n v="13"/>
    <x v="4"/>
    <s v="Gelana Geisha"/>
    <s v="Grade 1, Guji, Natural, Gelana Geisha"/>
    <s v="Dry Mill or Hulling Facility"/>
    <s v="Kerchanshe Trading PLC"/>
    <s v="1900-2000"/>
    <e v="#VALUE!"/>
    <s v="Convertido"/>
    <x v="28"/>
    <s v="Kerchanshe"/>
    <n v="40"/>
    <s v="60 kg"/>
    <s v="METAD Agricultural Development plc"/>
    <s v="2021 / 2022"/>
    <s v="August 26th, 2022"/>
    <s v="Isreal Degefa"/>
    <s v="Gesha"/>
    <s v="Completed"/>
    <s v="Natural / Dry"/>
    <x v="10"/>
    <x v="14"/>
    <n v="8"/>
    <n v="8.33"/>
    <n v="8"/>
    <x v="9"/>
    <n v="10"/>
    <n v="10"/>
    <n v="10"/>
    <n v="8"/>
    <n v="86.17"/>
    <n v="11.6"/>
    <n v="0"/>
    <n v="3"/>
    <s v="yellow- green"/>
    <n v="2"/>
    <s v="August 26th, 2023"/>
    <s v="METAD Agricultural Development plc"/>
    <s v="BAWA Center, 3rd Floor (Gerji), Addis Ababa, Ethiopia"/>
    <s v="Aman Adinew (Emebet Dinku) - +251-116-292534, +251-911-519196"/>
    <x v="4"/>
    <n v="11"/>
  </r>
  <r>
    <n v="16"/>
    <n v="16"/>
    <x v="4"/>
    <s v="Halo Bariti Cooprative"/>
    <s v="CQU2023006"/>
    <s v="Halo Bariti Cooprative"/>
    <s v="Coffee Quality Union"/>
    <s v="1900-2100"/>
    <e v="#VALUE!"/>
    <s v="Convertido"/>
    <x v="29"/>
    <s v="Halo Bariti Cooprative"/>
    <n v="8"/>
    <s v="5 kg"/>
    <s v="Japan Coffee Exchange"/>
    <s v="2022"/>
    <s v="April 7th, 2023"/>
    <s v="Coffee Quality Union"/>
    <s v="Wolishalo,Kurume,Dega"/>
    <s v="Completed"/>
    <s v="Washed / Wet"/>
    <x v="16"/>
    <x v="0"/>
    <n v="7.92"/>
    <n v="8.17"/>
    <n v="7.75"/>
    <x v="8"/>
    <n v="10"/>
    <n v="10"/>
    <n v="10"/>
    <n v="8.08"/>
    <n v="86.08"/>
    <n v="11.3"/>
    <n v="0"/>
    <n v="2"/>
    <s v="green"/>
    <n v="2"/>
    <s v="April 6th, 2024"/>
    <s v="Japan Coffee Exchange"/>
    <s v="〒413-0002 静岡県熱海市伊豆山１１７３−５８ 1173-58 Izusan, Atami, Shizuoka, 413-0002 JAPAN"/>
    <s v="松澤　宏樹　Koju Matsuzawa - +81(0)9085642901"/>
    <x v="4"/>
    <n v="11"/>
  </r>
  <r>
    <n v="33"/>
    <n v="33"/>
    <x v="4"/>
    <s v="Eshetu farm"/>
    <s v="Washed Limmu"/>
    <s v="Lata Agri export"/>
    <s v="Alo Coffee"/>
    <s v="1950"/>
    <n v="594"/>
    <s v="Convertido"/>
    <x v="30"/>
    <s v="Eshetu"/>
    <n v="320"/>
    <s v="60 kg"/>
    <s v="METAD Agricultural Development plc"/>
    <s v="2021 / 2022"/>
    <s v="June 6th, 2022"/>
    <s v="Tamiru Tadesse Tesema"/>
    <s v="Ethiopian Heirlooms"/>
    <s v="Completed"/>
    <s v="Washed / Wet"/>
    <x v="10"/>
    <x v="11"/>
    <n v="7.83"/>
    <n v="8"/>
    <n v="8"/>
    <x v="9"/>
    <n v="10"/>
    <n v="10"/>
    <n v="10"/>
    <n v="8"/>
    <n v="85.33"/>
    <n v="9.9"/>
    <n v="0"/>
    <n v="2"/>
    <s v="green"/>
    <n v="3"/>
    <s v="June 6th, 2023"/>
    <s v="METAD Agricultural Development plc"/>
    <s v="BAWA Center, 3rd Floor (Gerji), Addis Ababa, Ethiopia"/>
    <s v="Aman Adinew (Emebet Dinku) - +251-116-292534, +251-911-519196"/>
    <x v="4"/>
    <n v="11"/>
  </r>
  <r>
    <n v="34"/>
    <n v="34"/>
    <x v="4"/>
    <s v="Uraga Bisrat washing station"/>
    <s v="0065"/>
    <s v="dry mill"/>
    <s v="TADESSE DESTA IMPORT &amp; EXPORT"/>
    <s v="2150 - 2350"/>
    <e v="#VALUE!"/>
    <s v="Convertido"/>
    <x v="31"/>
    <s v="Bisrat Melaku"/>
    <n v="320"/>
    <s v="60 kg"/>
    <s v="METAD Agricultural Development plc"/>
    <s v="2021 / 2022"/>
    <s v="September 30th, 2022"/>
    <s v="Tadessa Desta Amene"/>
    <s v="Ethiopian Heirlooms"/>
    <s v="Completed"/>
    <s v="Natural / Dry"/>
    <x v="12"/>
    <x v="0"/>
    <n v="8"/>
    <n v="8"/>
    <n v="7.67"/>
    <x v="11"/>
    <n v="10"/>
    <n v="10"/>
    <n v="10"/>
    <n v="7.83"/>
    <n v="85.33"/>
    <n v="12.3"/>
    <n v="0"/>
    <n v="3"/>
    <s v="yellow green"/>
    <n v="4"/>
    <s v="September 30th, 2023"/>
    <s v="METAD Agricultural Development plc"/>
    <s v="BAWA Center, 3rd Floor (Gerji), Addis Ababa, Ethiopia"/>
    <s v="Aman Adinew (Emebet Dinku) - +251-116-292534, +251-911-519196"/>
    <x v="4"/>
    <n v="11"/>
  </r>
  <r>
    <n v="35"/>
    <n v="35"/>
    <x v="4"/>
    <s v="YHAENU PLC FARM"/>
    <s v="1"/>
    <s v="GUJI COFFEE EXPORT P.L.C"/>
    <s v="yhaenu plc"/>
    <s v="1700"/>
    <n v="518"/>
    <s v="Convertido"/>
    <x v="30"/>
    <s v="YHAENU PLC"/>
    <n v="320"/>
    <s v="19200 kg"/>
    <s v="METAD Agricultural Development plc"/>
    <s v="2021 / 2022"/>
    <s v="December 12th, 2022"/>
    <s v="YHAENU PLC"/>
    <s v="Ethiopian Heirlooms"/>
    <s v="Completed"/>
    <s v="Washed / Wet"/>
    <x v="11"/>
    <x v="10"/>
    <n v="7.83"/>
    <n v="8.17"/>
    <n v="8"/>
    <x v="11"/>
    <n v="10"/>
    <n v="10"/>
    <n v="10"/>
    <n v="7.83"/>
    <n v="85.25"/>
    <n v="9.4"/>
    <n v="0"/>
    <n v="1"/>
    <s v="greenish"/>
    <n v="1"/>
    <s v="December 12th, 2023"/>
    <s v="METAD Agricultural Development plc"/>
    <s v="BAWA Center, 3rd Floor (Gerji), Addis Ababa, Ethiopia"/>
    <s v="Aman Adinew (Emebet Dinku) - +251-116-292534, +251-911-519196"/>
    <x v="4"/>
    <n v="11"/>
  </r>
  <r>
    <n v="71"/>
    <n v="71"/>
    <x v="4"/>
    <s v="TRACON TRADING PLC"/>
    <s v="0712"/>
    <s v="5.2Ha"/>
    <s v="Tracon Trading PLC"/>
    <s v="1943"/>
    <n v="592"/>
    <s v="Convertido"/>
    <x v="32"/>
    <s v="TRACON TRADING PLC"/>
    <n v="584"/>
    <s v="30 kg"/>
    <s v="Blossom Valley International宸嶧國際"/>
    <s v="2021 / 2022"/>
    <s v="August 23rd, 2022"/>
    <s v="李晓斐 LI XIAO FEI"/>
    <s v="Ethiopian Heirlooms"/>
    <s v="Completed"/>
    <s v="Washed / Wet"/>
    <x v="11"/>
    <x v="11"/>
    <n v="7.75"/>
    <n v="7.92"/>
    <n v="7.58"/>
    <x v="10"/>
    <n v="10"/>
    <n v="10"/>
    <n v="10"/>
    <n v="7.83"/>
    <n v="84.5"/>
    <n v="10.9"/>
    <n v="0"/>
    <n v="0"/>
    <s v="green"/>
    <n v="9"/>
    <s v="August 23rd, 2023"/>
    <s v="Blossom Valley International宸嶧國際"/>
    <s v="No.72 Mo-Fan St. Taiwan Zip: 403"/>
    <s v="Damon Chen陳嘉峻 - +886423022323"/>
    <x v="4"/>
    <n v="11"/>
  </r>
  <r>
    <n v="76"/>
    <n v="76"/>
    <x v="4"/>
    <s v="Bisrat Melaku Washing Station"/>
    <s v="0065"/>
    <s v="Washing Station"/>
    <s v="Tadesse Desta import export"/>
    <s v="2361"/>
    <n v="720"/>
    <s v="Convertido"/>
    <x v="33"/>
    <s v="Bisrat Melaku"/>
    <n v="320"/>
    <s v="60 kg"/>
    <s v="METAD Agricultural Development plc"/>
    <s v="2021 / 2022"/>
    <s v="September 19th, 2022"/>
    <s v="Tadesse Desta"/>
    <s v="Ethiopian Heirlooms"/>
    <s v="Completed"/>
    <s v="Natural / Dry"/>
    <x v="0"/>
    <x v="10"/>
    <n v="7.58"/>
    <n v="7.92"/>
    <n v="8"/>
    <x v="1"/>
    <n v="10"/>
    <n v="10"/>
    <n v="10"/>
    <n v="7.75"/>
    <n v="84.33"/>
    <n v="11"/>
    <n v="0"/>
    <n v="5"/>
    <s v="yellow green"/>
    <n v="4"/>
    <s v="September 19th, 2023"/>
    <s v="METAD Agricultural Development plc"/>
    <s v="BAWA Center, 3rd Floor (Gerji), Addis Ababa, Ethiopia"/>
    <s v="Aman Adinew (Emebet Dinku) - +251-116-292534, +251-911-519196"/>
    <x v="4"/>
    <n v="11"/>
  </r>
  <r>
    <n v="90"/>
    <n v="90"/>
    <x v="4"/>
    <s v="Ecom Agroindustrial"/>
    <s v="1077"/>
    <s v="Beneficio humedo"/>
    <s v="Descafeinadores Mexicano SA. de CV"/>
    <s v="1800"/>
    <n v="549"/>
    <s v="Convertido"/>
    <x v="34"/>
    <s v="Ecom Agroindustrial"/>
    <n v="300"/>
    <s v="60 kg"/>
    <s v="Centro Agroecológico del Café A.C."/>
    <s v="2021 / 2022"/>
    <s v="November 18th, 2022"/>
    <s v="Descafeinadores Mexicanos S.A de C.V"/>
    <s v="Ethiopian Heirlooms"/>
    <s v="Completed"/>
    <s v="Washed / Wet"/>
    <x v="12"/>
    <x v="10"/>
    <n v="7.5"/>
    <n v="7.67"/>
    <n v="7.67"/>
    <x v="10"/>
    <n v="10"/>
    <n v="10"/>
    <n v="10"/>
    <n v="7.75"/>
    <n v="84"/>
    <n v="11.3"/>
    <n v="1"/>
    <n v="1"/>
    <s v="green"/>
    <n v="1"/>
    <s v="November 18th, 2023"/>
    <s v="Centro Agroecológico del Café A.C."/>
    <s v="Instituto de Ecología A. C., Campus III Edificio A Planta Baja Carretera Antigua a Coatepec No. 351 Col. El Haya C.P. 91070 Xalapa, Veracruz, México."/>
    <s v="Stephany Escamilla Femat - Tel. +52 228 8421800 Ext. 3092"/>
    <x v="4"/>
    <n v="11"/>
  </r>
  <r>
    <n v="100"/>
    <n v="100"/>
    <x v="4"/>
    <s v="Gerbicho Lela Cooperative"/>
    <s v="1"/>
    <s v="Sidama Coffee Farmers Cooperative Union"/>
    <s v="Taylor Winch Coffee Ltd"/>
    <s v="2000"/>
    <n v="610"/>
    <s v="Convertido"/>
    <x v="34"/>
    <s v="Sidama Coffee Farmers Cooperative Union"/>
    <n v="100"/>
    <s v="60 kg"/>
    <s v="Kenya Coffee Traders Association"/>
    <s v="2021 / 2022"/>
    <s v="September 9th, 2022"/>
    <s v="Taylor Winch (Coffee) Ltd."/>
    <s v="Ethiopian Heirlooms"/>
    <s v="Completed"/>
    <s v="Washed / Wet"/>
    <x v="0"/>
    <x v="12"/>
    <n v="7.5"/>
    <n v="7.92"/>
    <n v="7.5"/>
    <x v="10"/>
    <n v="10"/>
    <n v="10"/>
    <n v="10"/>
    <n v="7.75"/>
    <n v="83.83"/>
    <n v="12"/>
    <n v="0"/>
    <n v="0"/>
    <s v="green"/>
    <n v="12"/>
    <s v="September 9th, 2023"/>
    <s v="Kenya Coffee Traders Association"/>
    <s v="P.O. Box 646 00100Nairobi, Kenya, Denniss Pritt Road, Opposite St Georges Girls Secondary School"/>
    <s v="Benson Kibicho Kamau - +254 786 821 621"/>
    <x v="4"/>
    <n v="11"/>
  </r>
  <r>
    <n v="116"/>
    <n v="116"/>
    <x v="4"/>
    <s v="YHAENU PLC FARM"/>
    <s v="1"/>
    <s v="GUJI COFFEE EXPORT P.L.C"/>
    <s v="yhaenu plc"/>
    <s v="1700"/>
    <n v="518"/>
    <s v="Convertido"/>
    <x v="30"/>
    <s v="YHAENU PLC"/>
    <n v="320"/>
    <s v="19200 kg"/>
    <s v="METAD Agricultural Development plc"/>
    <s v="2021 / 2022"/>
    <s v="November 30th, 2022"/>
    <s v="YHAENU PLC"/>
    <s v="Ethiopian Heirlooms"/>
    <s v="Completed"/>
    <s v="Washed / Wet"/>
    <x v="3"/>
    <x v="4"/>
    <n v="7.42"/>
    <n v="8"/>
    <n v="7.92"/>
    <x v="10"/>
    <n v="10"/>
    <n v="10"/>
    <n v="10"/>
    <n v="7.67"/>
    <n v="83.5"/>
    <n v="10.4"/>
    <n v="0"/>
    <n v="1"/>
    <s v="greenish"/>
    <n v="11"/>
    <s v="November 30th, 2023"/>
    <s v="METAD Agricultural Development plc"/>
    <s v="BAWA Center, 3rd Floor (Gerji), Addis Ababa, Ethiopia"/>
    <s v="Aman Adinew (Emebet Dinku) - +251-116-292534, +251-911-519196"/>
    <x v="4"/>
    <n v="11"/>
  </r>
  <r>
    <n v="5"/>
    <n v="5"/>
    <x v="5"/>
    <s v="La Colina"/>
    <s v="The 2022 Pacific Rim Coffee Summit,GT02"/>
    <s v="Dinámica Café"/>
    <s v="Taiwan Coffee Laboratory"/>
    <s v="1668"/>
    <n v="508"/>
    <s v="Convertido"/>
    <x v="35"/>
    <s v="Emilio Antonio Medina Garcia"/>
    <n v="5"/>
    <s v="30 kg"/>
    <s v="Taiwan Coffee Laboratory 台灣咖啡研究室"/>
    <s v="2022"/>
    <s v="November 15th, 2022"/>
    <s v="Taiwan Coffee Laboratory 台灣咖啡研究室"/>
    <s v="Gesha"/>
    <s v="Completed"/>
    <s v="Washed / Wet"/>
    <x v="7"/>
    <x v="8"/>
    <n v="8.25"/>
    <n v="7.83"/>
    <n v="7.83"/>
    <x v="16"/>
    <n v="10"/>
    <n v="10"/>
    <n v="10"/>
    <n v="8.25"/>
    <n v="87"/>
    <n v="10.7"/>
    <n v="0"/>
    <n v="0"/>
    <s v="green"/>
    <n v="2"/>
    <s v="November 15th, 2023"/>
    <s v="Taiwan Coffee Laboratory 台灣咖啡研究室"/>
    <s v="QAHWAH CO., LTD 4F, No. 225, Sec. 3, Beixin Rd., Xindian Dist. New Taipei City, Taiwan"/>
    <s v="Lin, Jen-An Neil 林仁安 - 886-289116612"/>
    <x v="5"/>
    <n v="21"/>
  </r>
  <r>
    <n v="11"/>
    <n v="11"/>
    <x v="5"/>
    <s v="Karen Acajabon Coffee Farm"/>
    <s v="The 2022 Pacific Rim Coffee Summit,GT12"/>
    <s v="Cafetoland"/>
    <s v="Taiwan Coffee Laboratory"/>
    <s v="2000"/>
    <n v="610"/>
    <s v="Convertido"/>
    <x v="36"/>
    <s v="Karen Acajabon"/>
    <n v="5"/>
    <s v="15 kg"/>
    <s v="Taiwan Coffee Laboratory 台灣咖啡研究室"/>
    <s v="2021"/>
    <s v="November 15th, 2022"/>
    <s v="Full Sweet Coffee"/>
    <s v="Gesha"/>
    <s v="Completed"/>
    <s v="Natural / Dry"/>
    <x v="8"/>
    <x v="9"/>
    <n v="8"/>
    <n v="7.75"/>
    <n v="8.25"/>
    <x v="16"/>
    <n v="10"/>
    <n v="10"/>
    <n v="10"/>
    <n v="8"/>
    <n v="86.25"/>
    <n v="11.5"/>
    <n v="0"/>
    <n v="0"/>
    <s v="brownish"/>
    <n v="1"/>
    <s v="November 15th, 2023"/>
    <s v="Taiwan Coffee Laboratory 台灣咖啡研究室"/>
    <s v="QAHWAH CO., LTD 4F, No. 225, Sec. 3, Beixin Rd., Xindian Dist. New Taipei City, Taiwan"/>
    <s v="Lin, Jen-An Neil 林仁安 - 886-289116612"/>
    <x v="5"/>
    <n v="21"/>
  </r>
  <r>
    <n v="20"/>
    <n v="20"/>
    <x v="5"/>
    <s v="Finca Vista Hermosa"/>
    <s v="The 2022 Pacific Rim Coffee Summit,GT03"/>
    <s v="El Vergel"/>
    <s v="Taiwan Coffee Laboratory"/>
    <s v="1900"/>
    <n v="579"/>
    <s v="Convertido"/>
    <x v="37"/>
    <s v="Fredy Orantes"/>
    <n v="8"/>
    <s v="30 kg"/>
    <s v="Taiwan Coffee Laboratory 台灣咖啡研究室"/>
    <s v="2021 / 2022"/>
    <s v="November 15th, 2022"/>
    <s v="Carlos Pascual - 潘仕杰"/>
    <s v="Gesha"/>
    <s v="Completed"/>
    <s v="Natural / Dry"/>
    <x v="12"/>
    <x v="1"/>
    <n v="8.08"/>
    <n v="7.92"/>
    <n v="7.75"/>
    <x v="9"/>
    <n v="10"/>
    <n v="10"/>
    <n v="10"/>
    <n v="8.08"/>
    <n v="85.75"/>
    <n v="11.6"/>
    <n v="0"/>
    <n v="0"/>
    <s v="yellowish"/>
    <n v="0"/>
    <s v="November 15th, 2023"/>
    <s v="Taiwan Coffee Laboratory 台灣咖啡研究室"/>
    <s v="QAHWAH CO., LTD 4F, No. 225, Sec. 3, Beixin Rd., Xindian Dist. New Taipei City, Taiwan"/>
    <s v="Lin, Jen-An Neil 林仁安 - 886-289116612"/>
    <x v="5"/>
    <n v="21"/>
  </r>
  <r>
    <n v="46"/>
    <n v="46"/>
    <x v="5"/>
    <s v="varias fincas"/>
    <s v="11/15/118"/>
    <s v="Beneficio Pastores"/>
    <s v="Peter Schoenfeld, S.A."/>
    <s v="1600"/>
    <n v="488"/>
    <s v="Convertido"/>
    <x v="38"/>
    <s v="Varios productores"/>
    <n v="600"/>
    <s v="30 kg"/>
    <s v="Asociacion Nacional Del Café"/>
    <s v="2022 / 2023"/>
    <s v="April 17th, 2023"/>
    <s v="Yesica Alejandra Martìnez Vàsquez"/>
    <s v="Caturra"/>
    <s v="Completed"/>
    <s v="Washed / Wet"/>
    <x v="10"/>
    <x v="0"/>
    <n v="7.67"/>
    <n v="8"/>
    <n v="7.92"/>
    <x v="0"/>
    <n v="10"/>
    <n v="10"/>
    <n v="10"/>
    <n v="7.83"/>
    <n v="85"/>
    <n v="9.9"/>
    <n v="0"/>
    <n v="1"/>
    <s v="green"/>
    <n v="1"/>
    <s v="April 16th, 2024"/>
    <s v="Asociacion Nacional Del Café"/>
    <s v="5a Calle 0-50, Zona 14 Guatemala City, Guatemala 1014"/>
    <s v="Brayan Cifuentes -"/>
    <x v="5"/>
    <n v="21"/>
  </r>
  <r>
    <n v="47"/>
    <n v="47"/>
    <x v="5"/>
    <s v="PEÑA BLANCA"/>
    <s v="11/951/279"/>
    <s v="BENEFICIO LAS AMERICAS"/>
    <s v="OLAM AGRO GUATEMALA, S.A."/>
    <s v="4700"/>
    <n v="1432"/>
    <s v="Convertido"/>
    <x v="39"/>
    <s v="PABLO CHUY"/>
    <n v="632"/>
    <s v="30 kg"/>
    <s v="Asociacion Nacional Del Café"/>
    <s v="2022 / 2023"/>
    <s v="February 23rd, 2023"/>
    <s v="Yesica Alejandra Martìnez Vàsquez"/>
    <s v="Catuai"/>
    <s v="Completed"/>
    <s v="Washed / Wet"/>
    <x v="10"/>
    <x v="9"/>
    <n v="7.75"/>
    <n v="7.92"/>
    <n v="8"/>
    <x v="0"/>
    <n v="10"/>
    <n v="10"/>
    <n v="10"/>
    <n v="7.83"/>
    <n v="85"/>
    <n v="11.3"/>
    <n v="0"/>
    <n v="0"/>
    <s v="green"/>
    <n v="4"/>
    <s v="February 23rd, 2024"/>
    <s v="Asociacion Nacional Del Café"/>
    <s v="5a Calle 0-50, Zona 14 Guatemala City, Guatemala 1014"/>
    <s v="Brayan Cifuentes -"/>
    <x v="5"/>
    <n v="21"/>
  </r>
  <r>
    <n v="48"/>
    <n v="48"/>
    <x v="5"/>
    <s v="san francisco cotzal"/>
    <s v="11/441/50"/>
    <s v="inmobiliaria e inversiones dos mil, s.a."/>
    <s v="inmobiliaria e inversiones dos mil, s.a."/>
    <s v="1600"/>
    <n v="488"/>
    <s v="Convertido"/>
    <x v="40"/>
    <s v="san francisco cotzal"/>
    <n v="275"/>
    <s v="69 kg"/>
    <s v="Asociacion Nacional Del Café"/>
    <s v="2021 / 2022"/>
    <s v="June 22nd, 2022"/>
    <s v="Angelica Paola Citan Lopez"/>
    <s v="Caturra"/>
    <s v="Completed"/>
    <s v="Washed / Wet"/>
    <x v="0"/>
    <x v="1"/>
    <n v="7.75"/>
    <n v="8"/>
    <n v="7.75"/>
    <x v="11"/>
    <n v="10"/>
    <n v="10"/>
    <n v="10"/>
    <n v="7.92"/>
    <n v="84.92"/>
    <n v="11.7"/>
    <n v="0"/>
    <n v="3"/>
    <s v="green"/>
    <n v="1"/>
    <s v="June 22nd, 2023"/>
    <s v="Asociacion Nacional Del Café"/>
    <s v="5a Calle 0-50, Zona 14 Guatemala City, Guatemala 1014"/>
    <s v="Brayan Cifuentes -"/>
    <x v="5"/>
    <n v="21"/>
  </r>
  <r>
    <n v="59"/>
    <n v="59"/>
    <x v="5"/>
    <s v="Varias Fincas"/>
    <s v="11/15/117"/>
    <s v="Varios Beneficios"/>
    <s v="Peter Schoenfeld, S.A."/>
    <s v="1600"/>
    <n v="488"/>
    <s v="Convertido"/>
    <x v="41"/>
    <s v="Varios Productores"/>
    <n v="600"/>
    <s v="30 kg"/>
    <s v="Asociacion Nacional Del Café"/>
    <s v="2022 / 2023"/>
    <s v="April 28th, 2023"/>
    <s v="Yesica Alejandra Martìnez Vàsquez"/>
    <s v="Caturra"/>
    <s v="Completed"/>
    <s v="Washed / Wet"/>
    <x v="10"/>
    <x v="9"/>
    <n v="7.67"/>
    <n v="7.83"/>
    <n v="7.92"/>
    <x v="10"/>
    <n v="10"/>
    <n v="10"/>
    <n v="10"/>
    <n v="7.92"/>
    <n v="84.67"/>
    <n v="10.6"/>
    <n v="0"/>
    <n v="0"/>
    <s v="green"/>
    <n v="1"/>
    <s v="April 27th, 2024"/>
    <s v="Asociacion Nacional Del Café"/>
    <s v="5a Calle 0-50, Zona 14 Guatemala City, Guatemala 1014"/>
    <s v="Brayan Cifuentes -"/>
    <x v="5"/>
    <n v="21"/>
  </r>
  <r>
    <n v="60"/>
    <n v="60"/>
    <x v="5"/>
    <s v="SAN RAFAEL URIAS VALDES"/>
    <s v="11/54876/03"/>
    <s v="ECO COFFEE"/>
    <s v="VALBROS, S. A."/>
    <s v="4895"/>
    <n v="1492"/>
    <s v="Convertido"/>
    <x v="42"/>
    <s v="VALBROS, S. A."/>
    <n v="66"/>
    <s v="30 kg"/>
    <s v="Asociacion Nacional Del Café"/>
    <s v="2021 / 2022"/>
    <s v="May 19th, 2022"/>
    <s v="Angelica Paola Citan Lopez"/>
    <s v="Bourbon"/>
    <s v="Completed"/>
    <s v="Natural / Dry"/>
    <x v="0"/>
    <x v="9"/>
    <n v="7.67"/>
    <n v="7.83"/>
    <n v="7.75"/>
    <x v="11"/>
    <n v="10"/>
    <n v="10"/>
    <n v="10"/>
    <n v="7.83"/>
    <n v="84.67"/>
    <n v="10.9"/>
    <n v="0"/>
    <n v="3"/>
    <s v="yellow-green"/>
    <n v="2"/>
    <s v="May 19th, 2023"/>
    <s v="Asociacion Nacional Del Café"/>
    <s v="5a Calle 0-50, Zona 14 Guatemala City, Guatemala 1014"/>
    <s v="Brayan Cifuentes -"/>
    <x v="5"/>
    <n v="21"/>
  </r>
  <r>
    <n v="74"/>
    <n v="74"/>
    <x v="5"/>
    <s v="Finca Alta Luz"/>
    <s v="11-63-657"/>
    <s v=""/>
    <s v="Retrillas del pacifico, s.a."/>
    <s v="1300-1400"/>
    <e v="#VALUE!"/>
    <s v="Convertido"/>
    <x v="41"/>
    <s v="Maria de los Angeles Perez"/>
    <n v="600"/>
    <s v="30 kg"/>
    <s v="Asociacion Nacional Del Café"/>
    <s v="2022 / 2023"/>
    <s v="April 26th, 2023"/>
    <s v="Yesica Alejandra Martìnez Vàsquez"/>
    <s v="Bourbon"/>
    <s v="Completed"/>
    <s v="Washed / Wet"/>
    <x v="10"/>
    <x v="11"/>
    <n v="7.75"/>
    <n v="7.75"/>
    <n v="7.83"/>
    <x v="11"/>
    <n v="10"/>
    <n v="10"/>
    <n v="10"/>
    <n v="7.75"/>
    <n v="84.33"/>
    <n v="9.1999999999999993"/>
    <n v="0"/>
    <n v="1"/>
    <s v="green"/>
    <n v="5"/>
    <s v="April 25th, 2024"/>
    <s v="Asociacion Nacional Del Café"/>
    <s v="5a Calle 0-50, Zona 14 Guatemala City, Guatemala 1014"/>
    <s v="Brayan Cifuentes -"/>
    <x v="5"/>
    <n v="21"/>
  </r>
  <r>
    <n v="80"/>
    <n v="80"/>
    <x v="5"/>
    <s v="San jose del lago"/>
    <s v="11/15/96"/>
    <s v="San jose del lago"/>
    <s v="Peter Schoenfeld, S.A."/>
    <s v="1600"/>
    <n v="488"/>
    <s v="Convertido"/>
    <x v="43"/>
    <s v="Cafetalera Paquim, S.A."/>
    <n v="55"/>
    <s v="30 kg"/>
    <s v="Asociacion Nacional Del Café"/>
    <s v="2022 / 2023"/>
    <s v="April 17th, 2023"/>
    <s v="Yesica Alejandra Martìnez Vàsquez"/>
    <s v="Typica"/>
    <s v="Completed"/>
    <s v="Washed / Wet"/>
    <x v="1"/>
    <x v="1"/>
    <n v="7.67"/>
    <n v="7.75"/>
    <n v="7.83"/>
    <x v="11"/>
    <n v="10"/>
    <n v="10"/>
    <n v="10"/>
    <n v="7.75"/>
    <n v="84.25"/>
    <n v="10"/>
    <n v="0"/>
    <n v="0"/>
    <s v="green"/>
    <n v="1"/>
    <s v="April 16th, 2024"/>
    <s v="Asociacion Nacional Del Café"/>
    <s v="5a Calle 0-50, Zona 14 Guatemala City, Guatemala 1014"/>
    <s v="Brayan Cifuentes -"/>
    <x v="5"/>
    <n v="21"/>
  </r>
  <r>
    <n v="83"/>
    <n v="83"/>
    <x v="5"/>
    <s v="san francisco cotzal"/>
    <s v="11/441/49"/>
    <s v="inmobiliaria e inversiones dos mil, s.a."/>
    <s v="inmobiliaria e inversiones dos mil, s.a."/>
    <s v="1600"/>
    <n v="488"/>
    <s v="Convertido"/>
    <x v="40"/>
    <s v="san francisco cotzal"/>
    <n v="275"/>
    <s v="69 kg"/>
    <s v="Asociacion Nacional Del Café"/>
    <s v="2021 / 2022"/>
    <s v="May 19th, 2022"/>
    <s v="Angelica Paola Citan Lopez"/>
    <s v="Caturra"/>
    <s v="Completed"/>
    <s v="Washed / Wet"/>
    <x v="1"/>
    <x v="1"/>
    <n v="7.58"/>
    <n v="7.83"/>
    <n v="7.75"/>
    <x v="10"/>
    <n v="10"/>
    <n v="10"/>
    <n v="10"/>
    <n v="7.75"/>
    <n v="84.08"/>
    <n v="11"/>
    <n v="0"/>
    <n v="3"/>
    <s v="green"/>
    <n v="2"/>
    <s v="May 19th, 2023"/>
    <s v="Asociacion Nacional Del Café"/>
    <s v="5a Calle 0-50, Zona 14 Guatemala City, Guatemala 1014"/>
    <s v="Brayan Cifuentes -"/>
    <x v="5"/>
    <n v="21"/>
  </r>
  <r>
    <n v="86"/>
    <n v="86"/>
    <x v="5"/>
    <s v="varias fincas"/>
    <s v="11/15/51"/>
    <s v="El Trèbol/Lìnea Gourmet"/>
    <s v="Peter Schoenfeld, S.A."/>
    <s v="1500-1600"/>
    <e v="#VALUE!"/>
    <s v="Convertido"/>
    <x v="44"/>
    <s v="varios productores"/>
    <n v="430"/>
    <s v="30 kg"/>
    <s v="Asociacion Nacional Del Café"/>
    <s v="2022 / 2023"/>
    <s v="March 22nd, 2023"/>
    <s v="Yesica Alejandra Martìnez Vàsquez"/>
    <s v="Caturra"/>
    <s v="Completed"/>
    <s v="Washed / Wet"/>
    <x v="10"/>
    <x v="11"/>
    <n v="7.67"/>
    <n v="7.83"/>
    <n v="7.75"/>
    <x v="10"/>
    <n v="10"/>
    <n v="10"/>
    <n v="10"/>
    <n v="7.67"/>
    <n v="84.08"/>
    <n v="11"/>
    <n v="0"/>
    <n v="1"/>
    <s v="green"/>
    <n v="2"/>
    <s v="March 21st, 2024"/>
    <s v="Asociacion Nacional Del Café"/>
    <s v="5a Calle 0-50, Zona 14 Guatemala City, Guatemala 1014"/>
    <s v="Brayan Cifuentes -"/>
    <x v="5"/>
    <n v="21"/>
  </r>
  <r>
    <n v="87"/>
    <n v="87"/>
    <x v="5"/>
    <s v="varias fincas"/>
    <s v="11/15/59"/>
    <s v="El Trebol/Linea Gourmet"/>
    <s v="Peter Schoenfeld, S.A."/>
    <s v="1500-1600"/>
    <e v="#VALUE!"/>
    <s v="Convertido"/>
    <x v="45"/>
    <s v="varios productores"/>
    <n v="200"/>
    <s v="30 kg"/>
    <s v="Asociacion Nacional Del Café"/>
    <s v="2022 / 2023"/>
    <s v="March 22nd, 2023"/>
    <s v="Yesica Alejandra Martìnez Vàsquez"/>
    <s v="Caturra"/>
    <s v="Completed"/>
    <s v="Washed / Wet"/>
    <x v="10"/>
    <x v="1"/>
    <n v="7.67"/>
    <n v="7.75"/>
    <n v="7.67"/>
    <x v="12"/>
    <n v="10"/>
    <n v="10"/>
    <n v="10"/>
    <n v="7.75"/>
    <n v="84"/>
    <n v="11"/>
    <n v="0"/>
    <n v="2"/>
    <s v="green"/>
    <n v="2"/>
    <s v="March 21st, 2024"/>
    <s v="Asociacion Nacional Del Café"/>
    <s v="5a Calle 0-50, Zona 14 Guatemala City, Guatemala 1014"/>
    <s v="Brayan Cifuentes -"/>
    <x v="5"/>
    <n v="21"/>
  </r>
  <r>
    <n v="94"/>
    <n v="94"/>
    <x v="5"/>
    <s v="El Morito"/>
    <s v="The 2022 Pacific Rim Coffee Summit,GT01"/>
    <s v="Sube"/>
    <s v="Taiwan Coffee Laboratory"/>
    <s v="1900"/>
    <n v="579"/>
    <s v="Convertido"/>
    <x v="46"/>
    <s v="Various producers"/>
    <n v="1"/>
    <s v="15 kg"/>
    <s v="Taiwan Coffee Laboratory 台灣咖啡研究室"/>
    <s v="2021"/>
    <s v="November 15th, 2022"/>
    <s v="Taiwan Coffee Laboratory 台灣咖啡研究室"/>
    <s v="Gesha"/>
    <s v="Completed"/>
    <s v="Natural / Dry"/>
    <x v="0"/>
    <x v="11"/>
    <n v="7.58"/>
    <n v="7.67"/>
    <n v="7.67"/>
    <x v="12"/>
    <n v="10"/>
    <n v="10"/>
    <n v="10"/>
    <n v="7.75"/>
    <n v="83.92"/>
    <n v="11.9"/>
    <n v="0"/>
    <n v="0"/>
    <s v="greenish"/>
    <n v="0"/>
    <s v="November 15th, 2023"/>
    <s v="Taiwan Coffee Laboratory 台灣咖啡研究室"/>
    <s v="QAHWAH CO., LTD 4F, No. 225, Sec. 3, Beixin Rd., Xindian Dist. New Taipei City, Taiwan"/>
    <s v="Lin, Jen-An Neil 林仁安 - 886-289116612"/>
    <x v="5"/>
    <n v="21"/>
  </r>
  <r>
    <n v="95"/>
    <n v="95"/>
    <x v="5"/>
    <s v="San jose del lago"/>
    <s v="11/15/95"/>
    <s v="San jose del lago"/>
    <s v="Peter Schoenfeld, S.A."/>
    <s v="1600"/>
    <n v="488"/>
    <s v="Convertido"/>
    <x v="43"/>
    <s v="Cafetalera Paquim, S.A."/>
    <n v="35"/>
    <s v="30 kg"/>
    <s v="Asociacion Nacional Del Café"/>
    <s v="2022 / 2023"/>
    <s v="April 17th, 2023"/>
    <s v="Yesica Alejandra Martìnez Vàsquez"/>
    <s v="Bourbon"/>
    <s v="Completed"/>
    <s v="Washed / Wet"/>
    <x v="1"/>
    <x v="11"/>
    <n v="7.58"/>
    <n v="7.75"/>
    <n v="7.67"/>
    <x v="11"/>
    <n v="10"/>
    <n v="10"/>
    <n v="10"/>
    <n v="7.75"/>
    <n v="83.92"/>
    <n v="10"/>
    <n v="0"/>
    <n v="1"/>
    <s v="green"/>
    <n v="2"/>
    <s v="April 16th, 2024"/>
    <s v="Asociacion Nacional Del Café"/>
    <s v="5a Calle 0-50, Zona 14 Guatemala City, Guatemala 1014"/>
    <s v="Brayan Cifuentes -"/>
    <x v="5"/>
    <n v="21"/>
  </r>
  <r>
    <n v="98"/>
    <n v="98"/>
    <x v="5"/>
    <s v="FINCA ALTA LUZ"/>
    <s v="11/63/908"/>
    <s v=""/>
    <s v="RETRILLAS DEL PACIFICO, S. A."/>
    <s v="1400"/>
    <n v="427"/>
    <s v="Convertido"/>
    <x v="41"/>
    <s v="MARIA DE LOS ANGELES PEREZ"/>
    <n v="600"/>
    <s v="30 kg"/>
    <s v="Asociacion Nacional Del Café"/>
    <s v="2021 / 2022"/>
    <s v="May 13th, 2022"/>
    <s v="Angelica Paola Citan Lopez"/>
    <s v="BOURBON, CATURRA Y CATIMOR"/>
    <s v="Completed"/>
    <s v="Natural / Dry"/>
    <x v="1"/>
    <x v="11"/>
    <n v="7.67"/>
    <n v="7.67"/>
    <n v="7.67"/>
    <x v="10"/>
    <n v="10"/>
    <n v="10"/>
    <n v="10"/>
    <n v="7.75"/>
    <n v="83.83"/>
    <n v="10.8"/>
    <n v="0"/>
    <n v="0"/>
    <s v="green"/>
    <n v="4"/>
    <s v="May 13th, 2023"/>
    <s v="Asociacion Nacional Del Café"/>
    <s v="5a Calle 0-50, Zona 14 Guatemala City, Guatemala 1014"/>
    <s v="Brayan Cifuentes -"/>
    <x v="5"/>
    <n v="21"/>
  </r>
  <r>
    <n v="99"/>
    <n v="99"/>
    <x v="5"/>
    <s v="SAN RAFAEL URIAS VALDES"/>
    <s v="AMNI-22-0905"/>
    <s v="BENEFICIO SANTA RITA, S. A."/>
    <s v="Asociación Nacional del Cafe"/>
    <s v="4895 - 5650"/>
    <e v="#VALUE!"/>
    <s v="Convertido"/>
    <x v="42"/>
    <s v="VALBROS, S. A."/>
    <n v="635"/>
    <s v="30 kg"/>
    <s v="Asociacion Nacional Del Café"/>
    <s v="2021 / 2022"/>
    <s v="May 19th, 2022"/>
    <s v="Angelica Paola Citan Lopez"/>
    <s v="Bourbon"/>
    <s v="Completed"/>
    <s v="Washed / Wet"/>
    <x v="1"/>
    <x v="1"/>
    <n v="7.5"/>
    <n v="7.67"/>
    <n v="7.75"/>
    <x v="10"/>
    <n v="10"/>
    <n v="10"/>
    <n v="10"/>
    <n v="7.75"/>
    <n v="83.83"/>
    <n v="10.9"/>
    <n v="0"/>
    <n v="1"/>
    <s v="greenish"/>
    <n v="4"/>
    <s v="May 19th, 2023"/>
    <s v="Asociacion Nacional Del Café"/>
    <s v="5a Calle 0-50, Zona 14 Guatemala City, Guatemala 1014"/>
    <s v="Brayan Cifuentes -"/>
    <x v="5"/>
    <n v="21"/>
  </r>
  <r>
    <n v="112"/>
    <n v="112"/>
    <x v="5"/>
    <s v="SAN FRANCISCO COTZAL"/>
    <s v="P-4142"/>
    <s v="INMOBILIARIA E INVERSIONES DOS MIL, S. A."/>
    <s v="Asociación Nacional del Cafe"/>
    <s v="1600"/>
    <n v="488"/>
    <s v="Convertido"/>
    <x v="40"/>
    <s v="SAN FRANCISCO COTZAL"/>
    <n v="275"/>
    <s v="69 kg"/>
    <s v="Asociacion Nacional Del Café"/>
    <s v="2021 / 2022"/>
    <s v="May 19th, 2022"/>
    <s v="Angelica Paola Citan Lopez"/>
    <s v="Caturra"/>
    <s v="Completed"/>
    <s v="Washed / Wet"/>
    <x v="1"/>
    <x v="11"/>
    <n v="7.58"/>
    <n v="7.67"/>
    <n v="7.58"/>
    <x v="12"/>
    <n v="10"/>
    <n v="10"/>
    <n v="10"/>
    <n v="7.75"/>
    <n v="83.58"/>
    <n v="10.9"/>
    <n v="0"/>
    <n v="2"/>
    <s v="green"/>
    <n v="4"/>
    <s v="May 19th, 2023"/>
    <s v="Asociacion Nacional Del Café"/>
    <s v="5a Calle 0-50, Zona 14 Guatemala City, Guatemala 1014"/>
    <s v="Brayan Cifuentes -"/>
    <x v="5"/>
    <n v="21"/>
  </r>
  <r>
    <n v="122"/>
    <n v="122"/>
    <x v="5"/>
    <s v="MI CAFECITO &amp; LA PROVIDENCIA"/>
    <s v="1"/>
    <s v="MI CAFECITO + AGUA SANTA LA PROVIDENCIA + AGUA SANTA"/>
    <s v="Mr.Brown Cafe"/>
    <s v="1280-1325"/>
    <e v="#VALUE!"/>
    <s v="Convertido"/>
    <x v="47"/>
    <s v="500 PRODUCERS"/>
    <n v="320"/>
    <s v="60 kg"/>
    <s v="Taiwan Coffee Laboratory 台灣咖啡研究室"/>
    <s v="2021"/>
    <s v="December 30th, 2022"/>
    <s v="MR.BROWN CAFE"/>
    <s v="MARSELLESA, CATUAI, CATURRA &amp; MARSELLESA, ANACAFE 14, CATUAI"/>
    <s v="Completed"/>
    <s v="Washed / Wet"/>
    <x v="2"/>
    <x v="10"/>
    <n v="7.58"/>
    <n v="7.75"/>
    <n v="7.67"/>
    <x v="12"/>
    <n v="10"/>
    <n v="10"/>
    <n v="10"/>
    <n v="7.5"/>
    <n v="83.33"/>
    <n v="11.4"/>
    <n v="0"/>
    <n v="0"/>
    <s v="green"/>
    <n v="0"/>
    <s v="December 30th, 2023"/>
    <s v="Taiwan Coffee Laboratory 台灣咖啡研究室"/>
    <s v="QAHWAH CO., LTD 4F, No. 225, Sec. 3, Beixin Rd., Xindian Dist. New Taipei City, Taiwan"/>
    <s v="Lin, Jen-An Neil 林仁安 - 886-289116612"/>
    <x v="5"/>
    <n v="21"/>
  </r>
  <r>
    <n v="177"/>
    <n v="177"/>
    <x v="5"/>
    <s v="Not Specificated"/>
    <s v="SA4238"/>
    <s v="Dry Mill of Exportcafe"/>
    <s v="Marubeni Corporation"/>
    <s v="1350-1550"/>
    <e v="#VALUE!"/>
    <s v="Convertido"/>
    <x v="48"/>
    <s v="Exportcafe, S.A."/>
    <n v="275"/>
    <s v="69 kg"/>
    <s v="Japan Coffee Exchange"/>
    <s v="2021 / 2022"/>
    <s v="November 28th, 2022"/>
    <s v="Ikuto Uehara"/>
    <s v=""/>
    <s v="Completed"/>
    <s v="Washed / Wet"/>
    <x v="3"/>
    <x v="4"/>
    <n v="7.42"/>
    <n v="7.33"/>
    <n v="7.5"/>
    <x v="2"/>
    <n v="10"/>
    <n v="10"/>
    <n v="10"/>
    <n v="7.5"/>
    <n v="82"/>
    <n v="11.5"/>
    <n v="0"/>
    <n v="1"/>
    <s v="blue-green"/>
    <n v="2"/>
    <s v="November 28th, 2023"/>
    <s v="Japan Coffee Exchange"/>
    <s v="〒413-0002 静岡県熱海市伊豆山１１７３−５８ 1173-58 Izusan, Atami, Shizuoka, 413-0002 JAPAN"/>
    <s v="松澤　宏樹　Koju Matsuzawa - +81(0)9085642901"/>
    <x v="5"/>
    <n v="21"/>
  </r>
  <r>
    <n v="180"/>
    <n v="180"/>
    <x v="5"/>
    <s v="MULTIPLE SMALLHOLDER FARMS"/>
    <s v="GF-23392"/>
    <s v="MULTIPLE SMALLHOLDER FARMS"/>
    <s v="HARU International Corp, 守成咖啡"/>
    <s v="1200-1600"/>
    <e v="#VALUE!"/>
    <s v="Convertido"/>
    <x v="38"/>
    <s v="La Minita"/>
    <n v="540"/>
    <s v="30 kg"/>
    <s v="Taiwan Coffee Laboratory 台灣咖啡研究室"/>
    <s v="2022"/>
    <s v="November 3rd, 2022"/>
    <s v="Anderson Wong"/>
    <s v="Caturra"/>
    <s v="Completed"/>
    <s v="Washed / Wet"/>
    <x v="13"/>
    <x v="4"/>
    <n v="7.33"/>
    <n v="7.42"/>
    <n v="7.58"/>
    <x v="2"/>
    <n v="10"/>
    <n v="10"/>
    <n v="10"/>
    <n v="7.42"/>
    <n v="81.92"/>
    <n v="10.3"/>
    <n v="0"/>
    <n v="0"/>
    <s v="greenish"/>
    <n v="1"/>
    <s v="November 3rd, 2023"/>
    <s v="Taiwan Coffee Laboratory 台灣咖啡研究室"/>
    <s v="QAHWAH CO., LTD 4F, No. 225, Sec. 3, Beixin Rd., Xindian Dist. New Taipei City, Taiwan"/>
    <s v="Lin, Jen-An Neil 林仁安 - 886-289116612"/>
    <x v="5"/>
    <n v="21"/>
  </r>
  <r>
    <n v="70"/>
    <n v="70"/>
    <x v="6"/>
    <s v="La Cuchilla"/>
    <s v="36"/>
    <s v="Global Coffee"/>
    <s v="Mercon Honduras"/>
    <s v="1368"/>
    <n v="417"/>
    <s v="Convertido"/>
    <x v="49"/>
    <s v="Jose Nahum Maldonado"/>
    <n v="340"/>
    <s v="69 kg"/>
    <s v="Instituto Hondureño del Café"/>
    <s v="2022 / 2023"/>
    <s v="April 25th, 2023"/>
    <s v="Comercial Internacional de Granos de Honduras SA de CV"/>
    <s v="Catuai"/>
    <s v="Completed"/>
    <s v="Washed / Wet"/>
    <x v="0"/>
    <x v="1"/>
    <n v="7.75"/>
    <n v="7.75"/>
    <n v="7.75"/>
    <x v="11"/>
    <n v="10"/>
    <n v="10"/>
    <n v="10"/>
    <n v="7.75"/>
    <n v="84.5"/>
    <n v="9.8000000000000007"/>
    <n v="0"/>
    <n v="0"/>
    <s v="green"/>
    <n v="3"/>
    <s v="April 24th, 2024"/>
    <s v="Instituto Hondureño del Café"/>
    <s v="Laboratorio de Control de Calidad de Café ( CNCC), 33 Calle, 1-2 Avenida, Sector El Cacao. San Pedro Sula, Cortes"/>
    <s v="Ramon Reyes - + 504 9693-9042"/>
    <x v="6"/>
    <n v="13"/>
  </r>
  <r>
    <n v="82"/>
    <n v="82"/>
    <x v="6"/>
    <s v="La Cuchilla"/>
    <s v="8"/>
    <s v="Global Coffee"/>
    <s v="Mercon Honduras"/>
    <s v="1368"/>
    <n v="417"/>
    <s v="Convertido"/>
    <x v="49"/>
    <s v="Jose Nahum Maldonado"/>
    <n v="345"/>
    <s v="30 kg"/>
    <s v="Instituto Hondureño del Café"/>
    <s v="2022 / 2023"/>
    <s v="April 25th, 2023"/>
    <s v="Comercial Internacional de Granos de Honduras SA de CV"/>
    <s v="Catuai"/>
    <s v="Completed"/>
    <s v="Washed / Wet"/>
    <x v="9"/>
    <x v="10"/>
    <n v="7.58"/>
    <n v="7.83"/>
    <n v="7.75"/>
    <x v="11"/>
    <n v="10"/>
    <n v="10"/>
    <n v="10"/>
    <n v="7.75"/>
    <n v="84.17"/>
    <n v="10.199999999999999"/>
    <n v="0"/>
    <n v="0"/>
    <s v="green"/>
    <n v="2"/>
    <s v="April 24th, 2024"/>
    <s v="Instituto Hondureño del Café"/>
    <s v="Laboratorio de Control de Calidad de Café ( CNCC), 33 Calle, 1-2 Avenida, Sector El Cacao. San Pedro Sula, Cortes"/>
    <s v="Ramon Reyes - + 504 9693-9042"/>
    <x v="6"/>
    <n v="13"/>
  </r>
  <r>
    <n v="88"/>
    <n v="88"/>
    <x v="6"/>
    <s v="finca de la casa"/>
    <s v="The 2022 Pacific Rim Coffee Summit,HN04"/>
    <s v="De la casa"/>
    <s v="Taiwan Coffee Laboratory"/>
    <s v="1800"/>
    <n v="549"/>
    <s v="Convertido"/>
    <x v="50"/>
    <s v="Irma Consuelo Bonilla Hernandez"/>
    <n v="16"/>
    <s v="30 kg"/>
    <s v="Taiwan Coffee Laboratory 台灣咖啡研究室"/>
    <s v="2021 / 2022"/>
    <s v="November 15th, 2022"/>
    <s v="Kao,SIng-jay"/>
    <s v="Typica"/>
    <s v="Completed"/>
    <s v="Pulped natural / honey"/>
    <x v="9"/>
    <x v="10"/>
    <n v="7.75"/>
    <n v="7.67"/>
    <n v="7.75"/>
    <x v="10"/>
    <n v="10"/>
    <n v="10"/>
    <n v="10"/>
    <n v="7.67"/>
    <n v="84"/>
    <n v="9.4"/>
    <n v="0"/>
    <n v="0"/>
    <s v="green"/>
    <n v="0"/>
    <s v="November 15th, 2023"/>
    <s v="Taiwan Coffee Laboratory 台灣咖啡研究室"/>
    <s v="QAHWAH CO., LTD 4F, No. 225, Sec. 3, Beixin Rd., Xindian Dist. New Taipei City, Taiwan"/>
    <s v="Lin, Jen-An Neil 林仁安 - 886-289116612"/>
    <x v="6"/>
    <n v="13"/>
  </r>
  <r>
    <n v="109"/>
    <n v="109"/>
    <x v="6"/>
    <s v="Maria Bonita"/>
    <s v="The 2022 Pacific Rim Coffee Summit,HN01"/>
    <s v="Cafe Organic Marcala, S.A. (COMSA)"/>
    <s v="Taiwan Coffee Laboratory"/>
    <s v="1470"/>
    <n v="448"/>
    <s v="Convertido"/>
    <x v="51"/>
    <s v="Pedro Turcios"/>
    <n v="9"/>
    <s v="15 kg"/>
    <s v="Taiwan Coffee Laboratory 台灣咖啡研究室"/>
    <s v="2021"/>
    <s v="November 15th, 2022"/>
    <s v="Taiwan Coffee Laboratory 台灣咖啡研究室"/>
    <s v="Parainema"/>
    <s v="Completed"/>
    <s v="Natural / Dry"/>
    <x v="10"/>
    <x v="12"/>
    <n v="7.58"/>
    <n v="7.75"/>
    <n v="7.67"/>
    <x v="10"/>
    <n v="10"/>
    <n v="10"/>
    <n v="10"/>
    <n v="7.67"/>
    <n v="83.67"/>
    <n v="11.1"/>
    <n v="0"/>
    <n v="2"/>
    <s v="pale yellow"/>
    <n v="1"/>
    <s v="November 15th, 2023"/>
    <s v="Taiwan Coffee Laboratory 台灣咖啡研究室"/>
    <s v="QAHWAH CO., LTD 4F, No. 225, Sec. 3, Beixin Rd., Xindian Dist. New Taipei City, Taiwan"/>
    <s v="Lin, Jen-An Neil 林仁安 - 886-289116612"/>
    <x v="6"/>
    <n v="13"/>
  </r>
  <r>
    <n v="113"/>
    <n v="113"/>
    <x v="6"/>
    <s v="varias"/>
    <s v="AMNI-22-6011-1"/>
    <s v="Beneficio seco"/>
    <s v="Cafe Organico Marcala S.A de C.V."/>
    <s v="1400"/>
    <n v="427"/>
    <s v="Convertido"/>
    <x v="52"/>
    <s v="comsa"/>
    <n v="260"/>
    <s v="69 kg"/>
    <s v="Instituto Hondureño del Café"/>
    <s v="2021 / 2022"/>
    <s v="August 17th, 2022"/>
    <s v="Eliud Hernandez Gonzales"/>
    <s v="SHG"/>
    <s v="Completed"/>
    <s v="Washed / Wet"/>
    <x v="9"/>
    <x v="12"/>
    <n v="7.58"/>
    <n v="7.58"/>
    <n v="7.58"/>
    <x v="10"/>
    <n v="10"/>
    <n v="10"/>
    <n v="10"/>
    <n v="7.67"/>
    <n v="83.5"/>
    <n v="11.2"/>
    <n v="0"/>
    <n v="1"/>
    <s v="green"/>
    <n v="5"/>
    <s v="August 17th, 2023"/>
    <s v="Instituto Hondureño del Café"/>
    <s v="Laboratorio de Control de Calidad de Café ( CNCC), 33 Calle, 1-2 Avenida, Sector El Cacao. San Pedro Sula, Cortes"/>
    <s v="Ramon Reyes - + 504 9693-9042"/>
    <x v="6"/>
    <n v="13"/>
  </r>
  <r>
    <n v="132"/>
    <n v="132"/>
    <x v="6"/>
    <s v="La Bendicion"/>
    <s v="The 2022 Pacific Rim Coffee Summit,HN03"/>
    <s v="COMSA (Cafe Organic Marcala, S.A)"/>
    <s v="Taiwan Coffee Laboratory"/>
    <s v="1600"/>
    <n v="488"/>
    <s v="Convertido"/>
    <x v="53"/>
    <s v="Joaquin Suazo"/>
    <n v="9"/>
    <s v="15 kg"/>
    <s v="Taiwan Coffee Laboratory 台灣咖啡研究室"/>
    <s v="2021"/>
    <s v="November 15th, 2022"/>
    <s v="Taiwan Coffee Laboratory 台灣咖啡研究室"/>
    <s v="Lempira"/>
    <s v="Completed"/>
    <s v="Washed / Wet"/>
    <x v="10"/>
    <x v="10"/>
    <n v="7.67"/>
    <n v="7.58"/>
    <n v="7.5"/>
    <x v="12"/>
    <n v="10"/>
    <n v="10"/>
    <n v="10"/>
    <n v="7.5"/>
    <n v="83.25"/>
    <n v="10.5"/>
    <n v="0"/>
    <n v="0"/>
    <s v="bluish-green"/>
    <n v="3"/>
    <s v="November 15th, 2023"/>
    <s v="Taiwan Coffee Laboratory 台灣咖啡研究室"/>
    <s v="QAHWAH CO., LTD 4F, No. 225, Sec. 3, Beixin Rd., Xindian Dist. New Taipei City, Taiwan"/>
    <s v="Lin, Jen-An Neil 林仁安 - 886-289116612"/>
    <x v="6"/>
    <n v="13"/>
  </r>
  <r>
    <n v="133"/>
    <n v="133"/>
    <x v="6"/>
    <s v="varias"/>
    <s v="AMNI-22-6011-2"/>
    <s v="Beneficio seco"/>
    <s v="Cafe Organico Marcala S.A de C.V."/>
    <s v="1400"/>
    <n v="427"/>
    <s v="Convertido"/>
    <x v="52"/>
    <s v="comsa"/>
    <n v="260"/>
    <s v="69 kg"/>
    <s v="Instituto Hondureño del Café"/>
    <s v="2021 / 2022"/>
    <s v="August 17th, 2022"/>
    <s v="Eliud Hernandez Gonzales"/>
    <s v="Catuai"/>
    <s v="Completed"/>
    <s v="Washed / Wet"/>
    <x v="9"/>
    <x v="3"/>
    <n v="7.58"/>
    <n v="7.58"/>
    <n v="7.5"/>
    <x v="12"/>
    <n v="10"/>
    <n v="10"/>
    <n v="10"/>
    <n v="7.67"/>
    <n v="83.25"/>
    <n v="11.3"/>
    <n v="0"/>
    <n v="1"/>
    <s v="green"/>
    <n v="5"/>
    <s v="August 17th, 2023"/>
    <s v="Instituto Hondureño del Café"/>
    <s v="Laboratorio de Control de Calidad de Café ( CNCC), 33 Calle, 1-2 Avenida, Sector El Cacao. San Pedro Sula, Cortes"/>
    <s v="Ramon Reyes - + 504 9693-9042"/>
    <x v="6"/>
    <n v="13"/>
  </r>
  <r>
    <n v="137"/>
    <n v="137"/>
    <x v="6"/>
    <s v="La Cuchilla"/>
    <s v="187"/>
    <s v="CIGRAH"/>
    <s v="CIGRAH"/>
    <s v="1368"/>
    <n v="417"/>
    <s v="Convertido"/>
    <x v="54"/>
    <s v="Fausto Nahun Maldonado"/>
    <n v="250"/>
    <s v="69 kg"/>
    <s v="Instituto Hondureño del Café"/>
    <s v="2021 / 2022"/>
    <s v="May 23rd, 2022"/>
    <s v="Comercial Internacional de Granos de Honduras SA de CV"/>
    <s v="Catuai"/>
    <s v="Completed"/>
    <s v="Washed / Wet"/>
    <x v="10"/>
    <x v="12"/>
    <n v="7.5"/>
    <n v="7.58"/>
    <n v="7.58"/>
    <x v="1"/>
    <n v="10"/>
    <n v="10"/>
    <n v="10"/>
    <n v="7.58"/>
    <n v="83.08"/>
    <n v="10.6"/>
    <n v="0"/>
    <n v="2"/>
    <s v="green"/>
    <n v="7"/>
    <s v="May 23rd, 2023"/>
    <s v="Instituto Hondureño del Café"/>
    <s v="Laboratorio de Control de Calidad de Café ( CNCC), 33 Calle, 1-2 Avenida, Sector El Cacao. San Pedro Sula, Cortes"/>
    <s v="Ramon Reyes - + 504 9693-9042"/>
    <x v="6"/>
    <n v="13"/>
  </r>
  <r>
    <n v="138"/>
    <n v="138"/>
    <x v="6"/>
    <s v="Bethel"/>
    <s v="198"/>
    <s v="CADEXSA"/>
    <s v="CADEXSA"/>
    <s v="1450"/>
    <n v="442"/>
    <s v="Convertido"/>
    <x v="55"/>
    <s v="Omar Acosta"/>
    <n v="325"/>
    <s v="69 kg"/>
    <s v="Instituto Hondureño del Café"/>
    <s v="2022 / 2023"/>
    <s v="April 25th, 2023"/>
    <s v="CADEXSA"/>
    <s v="Catuai"/>
    <s v="Completed"/>
    <s v="Washed / Wet"/>
    <x v="9"/>
    <x v="3"/>
    <n v="7.58"/>
    <n v="7.58"/>
    <n v="7.58"/>
    <x v="1"/>
    <n v="10"/>
    <n v="10"/>
    <n v="10"/>
    <n v="7.5"/>
    <n v="83.08"/>
    <n v="9.6"/>
    <n v="0"/>
    <n v="0"/>
    <s v="green"/>
    <n v="2"/>
    <s v="April 24th, 2024"/>
    <s v="Instituto Hondureño del Café"/>
    <s v="Laboratorio de Control de Calidad de Café ( CNCC), 33 Calle, 1-2 Avenida, Sector El Cacao. San Pedro Sula, Cortes"/>
    <s v="Ramon Reyes - + 504 9693-9042"/>
    <x v="6"/>
    <n v="13"/>
  </r>
  <r>
    <n v="144"/>
    <n v="144"/>
    <x v="6"/>
    <s v="Varias"/>
    <s v="273"/>
    <s v="Beneficio Seco Comsa"/>
    <s v="Cafe Organico Marcala S.A de C.V."/>
    <s v="1280"/>
    <n v="390"/>
    <s v="Convertido"/>
    <x v="52"/>
    <s v="Varios"/>
    <n v="275"/>
    <s v="69 kg"/>
    <s v="Instituto Hondureño del Café"/>
    <s v="2022 / 2023"/>
    <s v="April 24th, 2023"/>
    <s v="Eliud Hernandez Gonzales"/>
    <s v="Catuai"/>
    <s v="Completed"/>
    <s v="Washed / Wet"/>
    <x v="10"/>
    <x v="3"/>
    <n v="7.5"/>
    <n v="7.5"/>
    <n v="7.58"/>
    <x v="1"/>
    <n v="10"/>
    <n v="10"/>
    <n v="10"/>
    <n v="7.5"/>
    <n v="82.83"/>
    <n v="10"/>
    <n v="0"/>
    <n v="0"/>
    <s v="green"/>
    <n v="4"/>
    <s v="April 23rd, 2024"/>
    <s v="Instituto Hondureño del Café"/>
    <s v="Laboratorio de Control de Calidad de Café ( CNCC), 33 Calle, 1-2 Avenida, Sector El Cacao. San Pedro Sula, Cortes"/>
    <s v="Ramon Reyes - + 504 9693-9042"/>
    <x v="6"/>
    <n v="13"/>
  </r>
  <r>
    <n v="152"/>
    <n v="152"/>
    <x v="6"/>
    <s v="Bethel"/>
    <s v="197"/>
    <s v="CADEXSA"/>
    <s v="CADEXSA"/>
    <s v="1450"/>
    <n v="442"/>
    <s v="Convertido"/>
    <x v="56"/>
    <s v="Omar Acosta"/>
    <n v="325"/>
    <s v="69 kg"/>
    <s v="Instituto Hondureño del Café"/>
    <s v="2022 / 2023"/>
    <s v="April 25th, 2023"/>
    <s v="CADEXSA"/>
    <s v="Catuai"/>
    <s v="Completed"/>
    <s v="Washed / Wet"/>
    <x v="10"/>
    <x v="3"/>
    <n v="7.33"/>
    <n v="7.5"/>
    <n v="7.58"/>
    <x v="1"/>
    <n v="10"/>
    <n v="10"/>
    <n v="10"/>
    <n v="7.5"/>
    <n v="82.67"/>
    <n v="9.6"/>
    <n v="0"/>
    <n v="0"/>
    <s v="green"/>
    <n v="2"/>
    <s v="April 24th, 2024"/>
    <s v="Instituto Hondureño del Café"/>
    <s v="Laboratorio de Control de Calidad de Café ( CNCC), 33 Calle, 1-2 Avenida, Sector El Cacao. San Pedro Sula, Cortes"/>
    <s v="Ramon Reyes - + 504 9693-9042"/>
    <x v="6"/>
    <n v="13"/>
  </r>
  <r>
    <n v="161"/>
    <n v="161"/>
    <x v="6"/>
    <s v="La Cuchilla"/>
    <s v="185"/>
    <s v="CIGRAH"/>
    <s v="Mercon Honduras"/>
    <s v="1368"/>
    <n v="417"/>
    <s v="Convertido"/>
    <x v="54"/>
    <s v="Fausto Nahun Maldonado"/>
    <n v="345"/>
    <s v="30 kg"/>
    <s v="Instituto Hondureño del Café"/>
    <s v="2021 / 2022"/>
    <s v="May 23rd, 2022"/>
    <s v="Comercial Internacional de Granos de Honduras SA de CV"/>
    <s v="Catuai"/>
    <s v="Completed"/>
    <s v="Washed / Wet"/>
    <x v="1"/>
    <x v="3"/>
    <n v="7.33"/>
    <n v="7.5"/>
    <n v="7.58"/>
    <x v="2"/>
    <n v="10"/>
    <n v="10"/>
    <n v="10"/>
    <n v="7.5"/>
    <n v="82.5"/>
    <n v="10.6"/>
    <n v="0"/>
    <n v="0"/>
    <s v="green"/>
    <n v="8"/>
    <s v="May 23rd, 2023"/>
    <s v="Instituto Hondureño del Café"/>
    <s v="Laboratorio de Control de Calidad de Café ( CNCC), 33 Calle, 1-2 Avenida, Sector El Cacao. San Pedro Sula, Cortes"/>
    <s v="Ramon Reyes - + 504 9693-9042"/>
    <x v="6"/>
    <n v="13"/>
  </r>
  <r>
    <n v="171"/>
    <n v="171"/>
    <x v="6"/>
    <s v="La Cuchilla"/>
    <s v="184"/>
    <s v="CIGRAH"/>
    <s v="Mercon Honduras"/>
    <s v="1368"/>
    <n v="417"/>
    <s v="Convertido"/>
    <x v="54"/>
    <s v="Fausto Nahun Maldonado"/>
    <n v="125"/>
    <s v="69 kg"/>
    <s v="Instituto Hondureño del Café"/>
    <s v="2021 / 2022"/>
    <s v="May 23rd, 2022"/>
    <s v="Comercial Internacional de Granos de Honduras SA de CV"/>
    <s v="Catuai"/>
    <s v="Completed"/>
    <s v="Washed / Wet"/>
    <x v="10"/>
    <x v="2"/>
    <n v="7.25"/>
    <n v="7.5"/>
    <n v="7.5"/>
    <x v="3"/>
    <n v="10"/>
    <n v="10"/>
    <n v="10"/>
    <n v="7.42"/>
    <n v="82.17"/>
    <n v="10.6"/>
    <n v="0"/>
    <n v="0"/>
    <s v="green"/>
    <n v="8"/>
    <s v="May 23rd, 2023"/>
    <s v="Instituto Hondureño del Café"/>
    <s v="Laboratorio de Control de Calidad de Café ( CNCC), 33 Calle, 1-2 Avenida, Sector El Cacao. San Pedro Sula, Cortes"/>
    <s v="Ramon Reyes - + 504 9693-9042"/>
    <x v="6"/>
    <n v="13"/>
  </r>
  <r>
    <n v="51"/>
    <n v="51"/>
    <x v="7"/>
    <s v="PT Indo CafCo North Sumatera"/>
    <s v="016/1513/262"/>
    <s v="PT Indo CafCo"/>
    <s v="InterAmerican Coffee"/>
    <s v="1200"/>
    <n v="366"/>
    <s v="Convertido"/>
    <x v="57"/>
    <s v="PT Indo CafCo North Sumatera"/>
    <n v="320"/>
    <s v="60 kg"/>
    <s v="NKG Quality Service (a division of Bernhard Rothfos Intercafé AG)"/>
    <s v="2022"/>
    <s v="September 23rd, 2022"/>
    <s v="Charles Umeano"/>
    <s v="Catimor"/>
    <s v="Completed"/>
    <s v=""/>
    <x v="0"/>
    <x v="1"/>
    <n v="7.75"/>
    <n v="7.83"/>
    <n v="7.83"/>
    <x v="0"/>
    <n v="10"/>
    <n v="10"/>
    <n v="10"/>
    <n v="7.83"/>
    <n v="84.83"/>
    <n v="11.9"/>
    <n v="0"/>
    <n v="3"/>
    <s v="bluish-green"/>
    <n v="2"/>
    <s v="September 23rd, 2023"/>
    <s v="NKG Quality Service (a division of Bernhard Rothfos Intercafé AG)"/>
    <s v="Bahnhofstrasse 22 6300 Zug, Switzerland"/>
    <s v="Tirza Odermatt - +41 41 728 72 81"/>
    <x v="7"/>
    <n v="3"/>
  </r>
  <r>
    <n v="79"/>
    <n v="79"/>
    <x v="7"/>
    <s v="Lintong Nihuta/Dolok Sanggul,Sumatera Utara"/>
    <s v="CQU2022018"/>
    <s v="Lintong Nihuta/Dolok Sanggul,Sumatera Utara"/>
    <s v="Coffee Quality Union"/>
    <s v="1250-1350"/>
    <e v="#VALUE!"/>
    <s v="Convertido"/>
    <x v="58"/>
    <s v="Lintong Nihuta/Dolok Sanggul,Sumatera Utara"/>
    <n v="1"/>
    <s v="60 kg"/>
    <s v="Japan Coffee Exchange"/>
    <s v="2022"/>
    <s v="September 21st, 2022"/>
    <s v="Coffee Quality Union"/>
    <s v="Jember,TIM-TIM,Ateng"/>
    <s v="Completed"/>
    <s v="Wet Hulling"/>
    <x v="10"/>
    <x v="12"/>
    <n v="7.83"/>
    <n v="7.83"/>
    <n v="7.67"/>
    <x v="11"/>
    <n v="10"/>
    <n v="10"/>
    <n v="10"/>
    <n v="7.83"/>
    <n v="84.25"/>
    <n v="11.5"/>
    <n v="0"/>
    <n v="1"/>
    <s v="blue-green"/>
    <n v="1"/>
    <s v="September 21st, 2023"/>
    <s v="Japan Coffee Exchange"/>
    <s v="〒413-0002 静岡県熱海市伊豆山１１７３−５８ 1173-58 Izusan, Atami, Shizuoka, 413-0002 JAPAN"/>
    <s v="松澤　宏樹　Koju Matsuzawa - +81(0)9085642901"/>
    <x v="7"/>
    <n v="3"/>
  </r>
  <r>
    <n v="178"/>
    <n v="178"/>
    <x v="7"/>
    <s v="Wahana Graha Makmur"/>
    <s v="015/1686/057"/>
    <s v="PT. Wahana Graha Makmur Medan"/>
    <s v="InterAmerican Coffee"/>
    <s v="1350"/>
    <n v="411"/>
    <s v="Convertido"/>
    <x v="59"/>
    <s v="PT. Wahana Graha Makmur Group"/>
    <n v="320"/>
    <s v="60 kg"/>
    <s v="NKG Quality Service (a division of Bernhard Rothfos Intercafé AG)"/>
    <s v="2022"/>
    <s v="August 22nd, 2022"/>
    <s v="Charles Umeano"/>
    <s v=""/>
    <s v="Completed"/>
    <s v="Pulped natural / honey"/>
    <x v="10"/>
    <x v="15"/>
    <n v="7.25"/>
    <n v="7.67"/>
    <n v="7.42"/>
    <x v="4"/>
    <n v="10"/>
    <n v="10"/>
    <n v="10"/>
    <n v="7.42"/>
    <n v="82"/>
    <n v="12.5"/>
    <n v="0"/>
    <n v="0"/>
    <s v="bluish-green"/>
    <n v="0"/>
    <s v="August 22nd, 2023"/>
    <s v="NKG Quality Service (a division of Bernhard Rothfos Intercafé AG)"/>
    <s v="Bahnhofstrasse 22 6300 Zug, Switzerland"/>
    <s v="Tirza Odermatt - +41 41 728 72 81"/>
    <x v="7"/>
    <n v="3"/>
  </r>
  <r>
    <n v="38"/>
    <n v="38"/>
    <x v="8"/>
    <s v="Small Holder"/>
    <s v="5516"/>
    <s v="NKG"/>
    <s v="IBERO (K) LTD"/>
    <s v="1600-1900"/>
    <e v="#VALUE!"/>
    <s v="Convertido"/>
    <x v="60"/>
    <s v="Small Holder"/>
    <n v="300"/>
    <s v="60 kg"/>
    <s v="Kenya Coffee Traders Association"/>
    <s v="2022 / 2023"/>
    <s v="February 28th, 2023"/>
    <s v="Judith Murimi"/>
    <s v="SL28"/>
    <s v="Completed"/>
    <s v="Washed / Wet"/>
    <x v="16"/>
    <x v="10"/>
    <n v="7.83"/>
    <n v="7.58"/>
    <n v="7.92"/>
    <x v="9"/>
    <n v="10"/>
    <n v="10"/>
    <n v="10"/>
    <n v="8"/>
    <n v="85.25"/>
    <n v="9.1999999999999993"/>
    <n v="0"/>
    <n v="0"/>
    <s v="greenish"/>
    <n v="1"/>
    <s v="February 28th, 2024"/>
    <s v="Kenya Coffee Traders Association"/>
    <s v="P.O. Box 646 00100Nairobi, Kenya, Denniss Pritt Road, Opposite St Georges Girls Secondary School"/>
    <s v="Benson Kibicho Kamau - +254 786 821 621"/>
    <x v="8"/>
    <n v="2"/>
  </r>
  <r>
    <n v="170"/>
    <n v="170"/>
    <x v="8"/>
    <s v="Kenyan Highlands"/>
    <s v="CQU2023004"/>
    <s v="TAYLOR WINCH"/>
    <s v="Coffee Quality Union"/>
    <s v="1500-1950"/>
    <e v="#VALUE!"/>
    <s v="Convertido"/>
    <x v="61"/>
    <s v="Slelected small holder"/>
    <n v="13"/>
    <s v="5 kg"/>
    <s v="Japan Coffee Exchange"/>
    <s v="2022"/>
    <s v="April 7th, 2023"/>
    <s v="Coffee Quality Union"/>
    <s v="SL28,SL34,Ruiru11"/>
    <s v="Completed"/>
    <s v="Washed / Wet"/>
    <x v="2"/>
    <x v="2"/>
    <n v="7.42"/>
    <n v="7.5"/>
    <n v="7.25"/>
    <x v="1"/>
    <n v="10"/>
    <n v="10"/>
    <n v="10"/>
    <n v="7.5"/>
    <n v="82.17"/>
    <n v="11.2"/>
    <n v="0"/>
    <n v="0"/>
    <s v="green"/>
    <n v="2"/>
    <s v="April 6th, 2024"/>
    <s v="Japan Coffee Exchange"/>
    <s v="〒413-0002 静岡県熱海市伊豆山１１７３−５８ 1173-58 Izusan, Atami, Shizuoka, 413-0002 JAPAN"/>
    <s v="松澤　宏樹　Koju Matsuzawa - +81(0)9085642901"/>
    <x v="8"/>
    <n v="2"/>
  </r>
  <r>
    <n v="2"/>
    <n v="2"/>
    <x v="9"/>
    <s v="OKLAO coffee farms"/>
    <s v="The 2022 Pacific Rim Coffee Summit,LA01"/>
    <s v="oklao coffee processing plant"/>
    <s v="Taiwan Coffee Laboratory"/>
    <s v="1300"/>
    <n v="396"/>
    <s v="Convertido"/>
    <x v="62"/>
    <s v="WU TAO CHI"/>
    <n v="19"/>
    <s v="25 kg"/>
    <s v="Taiwan Coffee Laboratory 台灣咖啡研究室"/>
    <s v="2021 / 2022"/>
    <s v="November 15th, 2022"/>
    <s v="Taiwan Coffee Laboratory 台灣咖啡研究室"/>
    <s v="Java"/>
    <s v="Completed"/>
    <s v="Semi Washed"/>
    <x v="7"/>
    <x v="18"/>
    <n v="8.08"/>
    <n v="8.17"/>
    <n v="7.92"/>
    <x v="16"/>
    <n v="10"/>
    <n v="10"/>
    <n v="10"/>
    <n v="8.33"/>
    <n v="87.42"/>
    <n v="10.4"/>
    <n v="0"/>
    <n v="0"/>
    <s v="yellowish"/>
    <n v="2"/>
    <s v="November 15th, 2023"/>
    <s v="Taiwan Coffee Laboratory 台灣咖啡研究室"/>
    <s v="QAHWAH CO., LTD 4F, No. 225, Sec. 3, Beixin Rd., Xindian Dist. New Taipei City, Taiwan"/>
    <s v="Lin, Jen-An Neil 林仁安 - 886-289116612"/>
    <x v="9"/>
    <n v="3"/>
  </r>
  <r>
    <n v="136"/>
    <n v="136"/>
    <x v="9"/>
    <s v="Nongluang Bolaven Plateau"/>
    <s v="DCN03.11.2022"/>
    <s v="Dao Heuang Group"/>
    <s v="Dao Heuang Group"/>
    <s v="1200 - 1300"/>
    <e v="#VALUE!"/>
    <s v="Convertido"/>
    <x v="63"/>
    <s v="Dao Heuang Group"/>
    <n v="26"/>
    <s v="60 kg"/>
    <s v="Specialty Coffee Association of Indonesia"/>
    <s v="2022"/>
    <s v="December 30th, 2022"/>
    <s v="Dao Heuang Group"/>
    <s v="Catimor"/>
    <s v="Completed"/>
    <s v="Natural / Dry"/>
    <x v="10"/>
    <x v="10"/>
    <n v="7.33"/>
    <n v="7.67"/>
    <n v="7.58"/>
    <x v="1"/>
    <n v="10"/>
    <n v="10"/>
    <n v="10"/>
    <n v="7.58"/>
    <n v="83.08"/>
    <n v="11.8"/>
    <n v="0"/>
    <n v="0"/>
    <s v="brownish"/>
    <n v="7"/>
    <s v="December 30th, 2023"/>
    <s v="Specialty Coffee Association of Indonesia"/>
    <s v="Ministry of Agriculture Republic Indonesia, Build C 5th Floor wing B Room 515 . Jl. Harsono RM No. 3, Ragunan, South Jakarta, Jakarta"/>
    <s v="Mr. Michael Utama or Mr. Andi Fachri - 081382657727 / 087789140881"/>
    <x v="9"/>
    <n v="3"/>
  </r>
  <r>
    <n v="204"/>
    <n v="204"/>
    <x v="9"/>
    <s v="-"/>
    <s v="105/3/VL7285-005"/>
    <s v="DRY MILL"/>
    <s v="Marubeni Corporation"/>
    <s v="1300"/>
    <n v="396"/>
    <s v="Convertido"/>
    <x v="64"/>
    <s v="LAO MINH TIEN COFFEE SOLE CO.,LTD"/>
    <n v="343"/>
    <s v="60 kg"/>
    <s v="Japan Coffee Exchange"/>
    <s v="2021 / 2022"/>
    <s v="November 11th, 2022"/>
    <s v="Ikuto Uehara"/>
    <s v="Catimor"/>
    <s v="Completed"/>
    <s v="Washed / Wet"/>
    <x v="4"/>
    <x v="5"/>
    <n v="7.08"/>
    <n v="7"/>
    <n v="7.08"/>
    <x v="15"/>
    <n v="10"/>
    <n v="10"/>
    <n v="10"/>
    <n v="7"/>
    <n v="79.67"/>
    <n v="11.6"/>
    <n v="0"/>
    <n v="9"/>
    <s v="green"/>
    <n v="11"/>
    <s v="November 11th, 2023"/>
    <s v="Japan Coffee Exchange"/>
    <s v="〒413-0002 静岡県熱海市伊豆山１１７３−５８ 1173-58 Izusan, Atami, Shizuoka, 413-0002 JAPAN"/>
    <s v="松澤　宏樹　Koju Matsuzawa - +81(0)9085642901"/>
    <x v="9"/>
    <n v="3"/>
  </r>
  <r>
    <n v="81"/>
    <n v="81"/>
    <x v="10"/>
    <s v="Mandroso"/>
    <s v="1"/>
    <s v="On the farm (mechanical huller and polisher / sorting by hand)"/>
    <s v="Vao Vao Sarl"/>
    <s v="1500"/>
    <n v="457"/>
    <s v="Convertido"/>
    <x v="65"/>
    <s v="Marc Dumont"/>
    <n v="5"/>
    <s v="60 kg"/>
    <s v="NKG Quality Service (a division of Bernhard Rothfos Intercafé AG)"/>
    <s v="2022"/>
    <s v="December 12th, 2022"/>
    <s v="Marc Dumont"/>
    <s v="Bourbon"/>
    <s v="Completed"/>
    <s v="Washed / Wet"/>
    <x v="11"/>
    <x v="1"/>
    <n v="7.58"/>
    <n v="7.75"/>
    <n v="7.58"/>
    <x v="10"/>
    <n v="10"/>
    <n v="10"/>
    <n v="10"/>
    <n v="7.83"/>
    <n v="84.25"/>
    <n v="12.1"/>
    <n v="0"/>
    <n v="0"/>
    <s v="blue-green"/>
    <n v="0"/>
    <s v="December 12th, 2023"/>
    <s v="NKG Quality Service (a division of Bernhard Rothfos Intercafé AG)"/>
    <s v="Bahnhofstrasse 22 6300 Zug, Switzerland"/>
    <s v="Tirza Odermatt - +41 41 728 72 81"/>
    <x v="10"/>
    <n v="1"/>
  </r>
  <r>
    <n v="104"/>
    <n v="104"/>
    <x v="11"/>
    <s v="Finca Custepec"/>
    <s v="312"/>
    <s v="exportadora de cafe california"/>
    <s v="Exportadora Café California"/>
    <s v="1200"/>
    <n v="366"/>
    <s v="Convertido"/>
    <x v="66"/>
    <s v="Armando Pohlenz"/>
    <n v="600"/>
    <s v="30 kg"/>
    <s v="Centro Agroecológico del Café A.C."/>
    <s v="2022 / 2023"/>
    <s v="April 5th, 2023"/>
    <s v="ANDREAS KUSSMAUL"/>
    <s v="Sarchimor"/>
    <s v="Completed"/>
    <s v="Washed / Wet"/>
    <x v="10"/>
    <x v="12"/>
    <n v="7.58"/>
    <n v="7.67"/>
    <n v="7.83"/>
    <x v="12"/>
    <n v="10"/>
    <n v="10"/>
    <n v="10"/>
    <n v="7.75"/>
    <n v="83.75"/>
    <n v="11.7"/>
    <n v="4"/>
    <n v="0"/>
    <s v="green"/>
    <n v="12"/>
    <s v="April 4th, 2024"/>
    <s v="Centro Agroecológico del Café A.C."/>
    <s v="Instituto de Ecología A. C., Campus III Edificio A Planta Baja Carretera Antigua a Coatepec No. 351 Col. El Haya C.P. 91070 Xalapa, Veracruz, México."/>
    <s v="Stephany Escamilla Femat - Tel. +52 228 8421800 Ext. 3092"/>
    <x v="11"/>
    <n v="4"/>
  </r>
  <r>
    <n v="141"/>
    <n v="141"/>
    <x v="11"/>
    <s v="Finca Tequihua"/>
    <s v="001"/>
    <s v="Coatepec, Veracruz"/>
    <s v="La Villa Coffee Company LLC"/>
    <s v="1350"/>
    <n v="411"/>
    <s v="Convertido"/>
    <x v="67"/>
    <s v="Martin Tequihuatle Zepahua"/>
    <n v="141"/>
    <s v="69 kg"/>
    <s v="Centro Agroecológico del Café A.C."/>
    <s v="2021 / 2022"/>
    <s v="August 11th, 2022"/>
    <s v="Alvin La Vaughn Landry"/>
    <s v="Bourbon"/>
    <s v="Completed"/>
    <s v="Washed / Wet"/>
    <x v="9"/>
    <x v="2"/>
    <n v="7.42"/>
    <n v="7.67"/>
    <n v="7.58"/>
    <x v="1"/>
    <n v="10"/>
    <n v="10"/>
    <n v="10"/>
    <n v="7.5"/>
    <n v="82.92"/>
    <n v="11.9"/>
    <n v="2"/>
    <n v="0"/>
    <s v="green"/>
    <n v="1"/>
    <s v="August 11th, 2023"/>
    <s v="Centro Agroecológico del Café A.C."/>
    <s v="Instituto de Ecología A. C., Campus III Edificio A Planta Baja Carretera Antigua a Coatepec No. 351 Col. El Haya C.P. 91070 Xalapa, Veracruz, México."/>
    <s v="Stephany Escamilla Femat - Tel. +52 228 8421800 Ext. 3092"/>
    <x v="11"/>
    <n v="4"/>
  </r>
  <r>
    <n v="160"/>
    <n v="160"/>
    <x v="11"/>
    <s v="Las Trincheras"/>
    <s v="The 2022 Pacific Rim Coffee Summit,MX01"/>
    <s v="Las Trincheras"/>
    <s v="Taiwan Coffee Laboratory"/>
    <s v="1340"/>
    <n v="408"/>
    <s v="Convertido"/>
    <x v="68"/>
    <s v="Jose Cienfuegos"/>
    <n v="10"/>
    <s v="15 kg"/>
    <s v="Taiwan Coffee Laboratory 台灣咖啡研究室"/>
    <s v="2021"/>
    <s v="November 15th, 2022"/>
    <s v="Full Sweet Coffee"/>
    <s v="Pacamara"/>
    <s v="Completed"/>
    <s v="Washed / Wet"/>
    <x v="10"/>
    <x v="4"/>
    <n v="7.5"/>
    <n v="7.5"/>
    <n v="7.67"/>
    <x v="2"/>
    <n v="10"/>
    <n v="10"/>
    <n v="10"/>
    <n v="7.33"/>
    <n v="82.5"/>
    <n v="10.7"/>
    <n v="0"/>
    <n v="0"/>
    <s v="pale yellow"/>
    <n v="0"/>
    <s v="November 15th, 2023"/>
    <s v="Taiwan Coffee Laboratory 台灣咖啡研究室"/>
    <s v="QAHWAH CO., LTD 4F, No. 225, Sec. 3, Beixin Rd., Xindian Dist. New Taipei City, Taiwan"/>
    <s v="Lin, Jen-An Neil 林仁安 - 886-289116612"/>
    <x v="11"/>
    <n v="4"/>
  </r>
  <r>
    <n v="186"/>
    <n v="186"/>
    <x v="11"/>
    <s v="Finca San José"/>
    <s v="002"/>
    <s v="Coatepec, Veracruz"/>
    <s v="La Villa Coffee Company LLC"/>
    <s v="1200"/>
    <n v="366"/>
    <s v="Convertido"/>
    <x v="69"/>
    <s v="José Gerardo Gutierrez Morales"/>
    <n v="32"/>
    <s v="69 kg"/>
    <s v="Centro Agroecológico del Café A.C."/>
    <s v="2021 / 2022"/>
    <s v="August 11th, 2022"/>
    <s v="Alvin La Vaughn Landry"/>
    <s v="Typica"/>
    <s v="Completed"/>
    <s v="Washed / Wet"/>
    <x v="1"/>
    <x v="4"/>
    <n v="7.25"/>
    <n v="7.25"/>
    <n v="7.5"/>
    <x v="3"/>
    <n v="10"/>
    <n v="10"/>
    <n v="10"/>
    <n v="7.33"/>
    <n v="81.67"/>
    <n v="11.8"/>
    <n v="2"/>
    <n v="0"/>
    <s v="green"/>
    <n v="2"/>
    <s v="August 11th, 2023"/>
    <s v="Centro Agroecológico del Café A.C."/>
    <s v="Instituto de Ecología A. C., Campus III Edificio A Planta Baja Carretera Antigua a Coatepec No. 351 Col. El Haya C.P. 91070 Xalapa, Veracruz, México."/>
    <s v="Stephany Escamilla Femat - Tel. +52 228 8421800 Ext. 3092"/>
    <x v="11"/>
    <n v="4"/>
  </r>
  <r>
    <n v="107"/>
    <n v="107"/>
    <x v="12"/>
    <s v="Aromatic"/>
    <s v="The 2022 Pacific Rim Coffee Summit,MM01"/>
    <s v="Aromatic"/>
    <s v="Taiwan Coffee Laboratory"/>
    <s v="1400"/>
    <n v="427"/>
    <s v="Convertido"/>
    <x v="70"/>
    <s v="Lim"/>
    <n v="100"/>
    <s v="30 kg"/>
    <s v="Taiwan Coffee Laboratory 台灣咖啡研究室"/>
    <s v="2022"/>
    <s v="November 15th, 2022"/>
    <s v="PeiHsun Lin"/>
    <s v="Catimor,Catuai,Caturra,Bourbon"/>
    <s v="Completed"/>
    <s v="Natural / Dry"/>
    <x v="0"/>
    <x v="11"/>
    <n v="7.67"/>
    <n v="7.58"/>
    <n v="7.58"/>
    <x v="12"/>
    <n v="10"/>
    <n v="10"/>
    <n v="10"/>
    <n v="7.58"/>
    <n v="83.67"/>
    <n v="10.199999999999999"/>
    <n v="0"/>
    <n v="1"/>
    <s v="pale yellow"/>
    <n v="1"/>
    <s v="November 15th, 2023"/>
    <s v="Taiwan Coffee Laboratory 台灣咖啡研究室"/>
    <s v="QAHWAH CO., LTD 4F, No. 225, Sec. 3, Beixin Rd., Xindian Dist. New Taipei City, Taiwan"/>
    <s v="Lin, Jen-An Neil 林仁安 - 886-289116612"/>
    <x v="12"/>
    <n v="1"/>
  </r>
  <r>
    <n v="64"/>
    <n v="64"/>
    <x v="13"/>
    <s v="Finca Las Dos Marias"/>
    <s v="10 1.1"/>
    <s v="Compare Coperativo Condega, Esteli, Nicaragua"/>
    <s v="NicaNoLA Coffee"/>
    <s v="1350"/>
    <n v="411"/>
    <s v="Convertido"/>
    <x v="71"/>
    <s v="NicaNoLA Coffee"/>
    <n v="74"/>
    <s v="45 kg"/>
    <s v="Specialty Coffee Association"/>
    <s v="2021 / 2022"/>
    <s v="June 9th, 2022"/>
    <s v="rene j alcebo"/>
    <s v="Catrenic"/>
    <s v="Completed"/>
    <s v="Natural / Dry"/>
    <x v="11"/>
    <x v="10"/>
    <n v="7.67"/>
    <n v="7.67"/>
    <n v="7.83"/>
    <x v="11"/>
    <n v="10"/>
    <n v="10"/>
    <n v="10"/>
    <n v="8"/>
    <n v="84.58"/>
    <n v="9.9"/>
    <n v="1"/>
    <n v="0"/>
    <s v="green"/>
    <n v="2"/>
    <s v="June 9th, 2023"/>
    <s v="Specialty Coffee Association"/>
    <s v="*CURRENTLY NOT ACCEPTING SAMPLES**"/>
    <s v="Brit Amell (CQI) - bamell@coffeeinstitute.org -"/>
    <x v="13"/>
    <n v="7"/>
  </r>
  <r>
    <n v="147"/>
    <n v="147"/>
    <x v="13"/>
    <s v="Finca San Felipe"/>
    <s v="017-053-0017"/>
    <s v="Beneficio Atlantic Sébaco"/>
    <s v="Exportadora Atlantic S.A"/>
    <s v="1200"/>
    <n v="366"/>
    <s v="Convertido"/>
    <x v="72"/>
    <s v="Exportadora Atlantic S.A."/>
    <n v="275"/>
    <s v="69 kg"/>
    <s v="Asociación de Cafés Especiales de Nicaragua"/>
    <s v="2022 / 2023"/>
    <s v="January 30th, 2023"/>
    <s v="Exportadora Atlantic, S.A."/>
    <s v="SHG"/>
    <s v="Completed"/>
    <s v="Natural / Dry"/>
    <x v="13"/>
    <x v="3"/>
    <n v="7.25"/>
    <n v="7.33"/>
    <n v="7.75"/>
    <x v="16"/>
    <n v="10"/>
    <n v="10"/>
    <n v="10"/>
    <n v="7.33"/>
    <n v="82.75"/>
    <n v="10.5"/>
    <n v="5"/>
    <n v="2"/>
    <s v="green"/>
    <n v="1"/>
    <s v="January 30th, 2024"/>
    <s v="Asociación de Cafés Especiales de Nicaragua"/>
    <s v="Del Hotel Seminole 2 C al lago, 1 C arriba."/>
    <s v="Maria Ines Benavidez Toval - 011-(505)-8396 4717"/>
    <x v="13"/>
    <n v="7"/>
  </r>
  <r>
    <n v="155"/>
    <n v="155"/>
    <x v="13"/>
    <s v="Finca Las Dos Marias"/>
    <s v="4 -3.1"/>
    <s v="Compare Coperativo Condega, Esteli, Nicaragua"/>
    <s v="NicaNoLA Coffee"/>
    <s v="1350"/>
    <n v="411"/>
    <s v="Convertido"/>
    <x v="71"/>
    <s v="NicaNoLA Coffee"/>
    <n v="120"/>
    <s v="45 kg"/>
    <s v="Specialty Coffee Association"/>
    <s v="2021 / 2022"/>
    <s v="June 20th, 2022"/>
    <s v="rene j alcebo"/>
    <s v="Parainema"/>
    <s v="Completed"/>
    <s v="Washed / Wet"/>
    <x v="2"/>
    <x v="3"/>
    <n v="7.42"/>
    <n v="7.58"/>
    <n v="7.5"/>
    <x v="12"/>
    <n v="10"/>
    <n v="10"/>
    <n v="10"/>
    <n v="7.42"/>
    <n v="82.58"/>
    <n v="10.1"/>
    <n v="0"/>
    <n v="0"/>
    <s v="green"/>
    <n v="0"/>
    <s v="June 20th, 2023"/>
    <s v="Specialty Coffee Association"/>
    <s v="*CURRENTLY NOT ACCEPTING SAMPLES**"/>
    <s v="Brit Amell (CQI) - bamell@coffeeinstitute.org -"/>
    <x v="13"/>
    <n v="7"/>
  </r>
  <r>
    <n v="163"/>
    <n v="163"/>
    <x v="13"/>
    <s v="Finca Aurora"/>
    <s v="1"/>
    <s v="Beneficio Seco Finca Aurora"/>
    <s v="Mr.Brown Cafe"/>
    <s v="1200-1350"/>
    <e v="#VALUE!"/>
    <s v="Convertido"/>
    <x v="73"/>
    <s v="Sabio Coffee - Enrique Ferrufino &amp; Tania Ferrufino"/>
    <n v="275"/>
    <s v="69 kg"/>
    <s v="Taiwan Coffee Laboratory 台灣咖啡研究室"/>
    <s v="2021 / 2022"/>
    <s v="December 30th, 2022"/>
    <s v="MR.BROWN CAFE"/>
    <s v="Caturra-Catuai"/>
    <s v="Completed"/>
    <s v="Washed / Wet"/>
    <x v="1"/>
    <x v="3"/>
    <n v="7.42"/>
    <n v="7.42"/>
    <n v="7.5"/>
    <x v="1"/>
    <n v="10"/>
    <n v="10"/>
    <n v="10"/>
    <n v="7.42"/>
    <n v="82.42"/>
    <n v="11.4"/>
    <n v="0"/>
    <n v="0"/>
    <s v="bluish-green"/>
    <n v="0"/>
    <s v="December 30th, 2023"/>
    <s v="Taiwan Coffee Laboratory 台灣咖啡研究室"/>
    <s v="QAHWAH CO., LTD 4F, No. 225, Sec. 3, Beixin Rd., Xindian Dist. New Taipei City, Taiwan"/>
    <s v="Lin, Jen-An Neil 林仁安 - 886-289116612"/>
    <x v="13"/>
    <n v="7"/>
  </r>
  <r>
    <n v="196"/>
    <n v="196"/>
    <x v="13"/>
    <s v="EXPORTADORA ATLANTIC S.A"/>
    <s v="017/053/0603"/>
    <s v="Lavado"/>
    <s v="ISHIMITSU"/>
    <s v="1100"/>
    <n v="335"/>
    <s v="Convertido"/>
    <x v="15"/>
    <s v="Varios Productores"/>
    <n v="275"/>
    <s v="69 kg"/>
    <s v="Japan Coffee Exchange"/>
    <s v="2021"/>
    <s v="July 11th, 2022"/>
    <s v="丸山花織"/>
    <s v="Caturra"/>
    <s v="Completed"/>
    <s v="Washed / Wet"/>
    <x v="4"/>
    <x v="13"/>
    <n v="7.17"/>
    <n v="7.33"/>
    <n v="7.08"/>
    <x v="4"/>
    <n v="10"/>
    <n v="10"/>
    <n v="10"/>
    <n v="7.17"/>
    <n v="80.5"/>
    <n v="11.5"/>
    <n v="0"/>
    <n v="1"/>
    <s v="greenish"/>
    <n v="3"/>
    <s v="July 11th, 2023"/>
    <s v="Japan Coffee Exchange"/>
    <s v="〒413-0002 静岡県熱海市伊豆山１１７３−５８ 1173-58 Izusan, Atami, Shizuoka, 413-0002 JAPAN"/>
    <s v="松澤　宏樹　Koju Matsuzawa - +81(0)9085642901"/>
    <x v="13"/>
    <n v="7"/>
  </r>
  <r>
    <n v="197"/>
    <n v="197"/>
    <x v="13"/>
    <s v="Sajonia Estate Coffee S.A."/>
    <s v="1"/>
    <s v="Sajonia Estate Coffee S.A."/>
    <s v="SAJONIA ESTATE COFFEE S.A."/>
    <s v="1000"/>
    <n v="305"/>
    <s v="Convertido"/>
    <x v="74"/>
    <s v="Sajonia Estate Coffee S.A."/>
    <n v="275"/>
    <s v="69 kg"/>
    <s v="Asociación de Cafés Especiales de Nicaragua"/>
    <s v="2022 / 2023"/>
    <s v="April 20th, 2023"/>
    <s v="SAJONIA ESTATE COFFEE S.A."/>
    <s v="Sarchimor"/>
    <s v="Completed"/>
    <s v="Washed / Wet"/>
    <x v="3"/>
    <x v="5"/>
    <n v="7"/>
    <n v="7.08"/>
    <n v="7.42"/>
    <x v="5"/>
    <n v="10"/>
    <n v="10"/>
    <n v="10"/>
    <n v="7.17"/>
    <n v="80.42"/>
    <n v="11.2"/>
    <n v="0"/>
    <n v="0"/>
    <s v="green"/>
    <n v="5"/>
    <s v="April 19th, 2024"/>
    <s v="Asociación de Cafés Especiales de Nicaragua"/>
    <s v="Del Hotel Seminole 2 C al lago, 1 C arriba."/>
    <s v="Maria Ines Benavidez Toval - 011-(505)-8396 4717"/>
    <x v="13"/>
    <n v="7"/>
  </r>
  <r>
    <n v="203"/>
    <n v="203"/>
    <x v="13"/>
    <s v="Finca San Felipe"/>
    <s v="017-053-0155"/>
    <s v="Beneficio Atlantic Sébaco"/>
    <s v="Exportadora Atlantic S.A"/>
    <s v="1200"/>
    <n v="366"/>
    <s v="Convertido"/>
    <x v="72"/>
    <s v="Exportadora Atlantic S.A."/>
    <n v="300"/>
    <s v="30 kg"/>
    <s v="Asociación de Cafés Especiales de Nicaragua"/>
    <s v="2022 / 2023"/>
    <s v="March 3rd, 2023"/>
    <s v="Exportadora Atlantic, S.A."/>
    <s v="SHG"/>
    <s v="Completed"/>
    <s v="Natural / Dry"/>
    <x v="13"/>
    <x v="6"/>
    <n v="6.75"/>
    <n v="7.17"/>
    <n v="7.42"/>
    <x v="5"/>
    <n v="10"/>
    <n v="10"/>
    <n v="10"/>
    <n v="7.08"/>
    <n v="80"/>
    <n v="10.4"/>
    <n v="0"/>
    <n v="2"/>
    <s v="green"/>
    <n v="12"/>
    <s v="March 2nd, 2024"/>
    <s v="Asociación de Cafés Especiales de Nicaragua"/>
    <s v="Del Hotel Seminole 2 C al lago, 1 C arriba."/>
    <s v="Maria Ines Benavidez Toval - 011-(505)-8396 4717"/>
    <x v="13"/>
    <n v="7"/>
  </r>
  <r>
    <n v="57"/>
    <n v="57"/>
    <x v="14"/>
    <s v="La Santa"/>
    <s v="2-237-05"/>
    <s v="La Santa"/>
    <s v="Panamerican Coffee Trading"/>
    <s v="1200"/>
    <n v="366"/>
    <s v="Convertido"/>
    <x v="75"/>
    <s v="La Santa"/>
    <n v="200"/>
    <s v="30 kg"/>
    <s v="Specialty Coffee Association of Costa Rica"/>
    <s v="2022 / 2023"/>
    <s v="April 26th, 2023"/>
    <s v="Rodrigo Soto"/>
    <s v="Catuai"/>
    <s v="Completed"/>
    <s v="Washed / Wet"/>
    <x v="0"/>
    <x v="11"/>
    <n v="7.75"/>
    <n v="7.92"/>
    <n v="7.83"/>
    <x v="11"/>
    <n v="10"/>
    <n v="10"/>
    <n v="10"/>
    <n v="7.83"/>
    <n v="84.75"/>
    <n v="10.3"/>
    <n v="0"/>
    <n v="1"/>
    <s v="bluish-green"/>
    <n v="5"/>
    <s v="April 25th, 2024"/>
    <s v="Specialty Coffee Association of Costa Rica"/>
    <s v="Blvd Rohrmoser, de Prisma Dental 200 norte y 25 oeste, casa 21"/>
    <s v="Noelia Villalobos - (506) 2220 0685"/>
    <x v="14"/>
    <n v="2"/>
  </r>
  <r>
    <n v="157"/>
    <n v="157"/>
    <x v="14"/>
    <s v="Finca Lerida"/>
    <s v="P03769"/>
    <s v="Finca Lerida"/>
    <s v="Panamerican Coffee Trading"/>
    <s v="1200"/>
    <n v="366"/>
    <s v="Convertido"/>
    <x v="75"/>
    <s v="Finca Lerida"/>
    <n v="200"/>
    <s v="30 kg"/>
    <s v="Specialty Coffee Association of Costa Rica"/>
    <s v="2021 / 2022"/>
    <s v="May 25th, 2022"/>
    <s v="Rodrigo Soto"/>
    <s v="Caturra"/>
    <s v="Completed"/>
    <s v="Washed / Wet"/>
    <x v="9"/>
    <x v="12"/>
    <n v="7.17"/>
    <n v="7.67"/>
    <n v="7.42"/>
    <x v="2"/>
    <n v="10"/>
    <n v="10"/>
    <n v="10"/>
    <n v="7.42"/>
    <n v="82.5"/>
    <n v="10"/>
    <n v="0"/>
    <n v="0"/>
    <s v="green"/>
    <n v="0"/>
    <s v="May 25th, 2023"/>
    <s v="Specialty Coffee Association of Costa Rica"/>
    <s v="Blvd Rohrmoser, de Prisma Dental 200 norte y 25 oeste, casa 21"/>
    <s v="Noelia Villalobos - (506) 2220 0685"/>
    <x v="14"/>
    <n v="2"/>
  </r>
  <r>
    <n v="52"/>
    <n v="52"/>
    <x v="15"/>
    <s v="Ruya Yayu Farm"/>
    <s v="The 2022 Pacific Rim Coffee Summit,PE02"/>
    <s v="no."/>
    <s v="Taiwan Coffee Laboratory"/>
    <s v="1750"/>
    <n v="533"/>
    <s v="Convertido"/>
    <x v="76"/>
    <s v="Ruya Yayu"/>
    <n v="3"/>
    <s v="5 kg"/>
    <s v="Taiwan Coffee Laboratory 台灣咖啡研究室"/>
    <s v="2022"/>
    <s v="November 15th, 2022"/>
    <s v="Taiwan Coffee Laboratory 台灣咖啡研究室"/>
    <s v="Gesha"/>
    <s v="Completed"/>
    <s v="Washed / Wet"/>
    <x v="12"/>
    <x v="9"/>
    <n v="7.83"/>
    <n v="7.83"/>
    <n v="7.58"/>
    <x v="0"/>
    <n v="10"/>
    <n v="10"/>
    <n v="10"/>
    <n v="7.75"/>
    <n v="84.83"/>
    <n v="10.7"/>
    <n v="0"/>
    <n v="0"/>
    <s v="greenish"/>
    <n v="0"/>
    <s v="November 15th, 2023"/>
    <s v="Taiwan Coffee Laboratory 台灣咖啡研究室"/>
    <s v="QAHWAH CO., LTD 4F, No. 225, Sec. 3, Beixin Rd., Xindian Dist. New Taipei City, Taiwan"/>
    <s v="Lin, Jen-An Neil 林仁安 - 886-289116612"/>
    <x v="15"/>
    <n v="4"/>
  </r>
  <r>
    <n v="168"/>
    <n v="168"/>
    <x v="15"/>
    <s v="Fundo La Libertado"/>
    <s v="PR138"/>
    <s v="Planta Callao"/>
    <s v="Itochu Corporation"/>
    <s v="1600"/>
    <n v="488"/>
    <s v="Convertido"/>
    <x v="77"/>
    <s v="Sand Crispin Espiritu"/>
    <n v="275"/>
    <s v="69 kg"/>
    <s v="Japan Coffee Exchange"/>
    <s v="2022 / 2023"/>
    <s v="July 11th, 2022"/>
    <s v="Kiichiro Iwata"/>
    <s v="Caturra"/>
    <s v="Completed"/>
    <s v="Washed / Wet"/>
    <x v="10"/>
    <x v="2"/>
    <n v="7.33"/>
    <n v="7.58"/>
    <n v="7.33"/>
    <x v="2"/>
    <n v="10"/>
    <n v="10"/>
    <n v="10"/>
    <n v="7.42"/>
    <n v="82.25"/>
    <n v="11.7"/>
    <n v="0"/>
    <n v="1"/>
    <s v="greenish"/>
    <n v="3"/>
    <s v="July 11th, 2023"/>
    <s v="Japan Coffee Exchange"/>
    <s v="〒413-0002 静岡県熱海市伊豆山１１７３−５８ 1173-58 Izusan, Atami, Shizuoka, 413-0002 JAPAN"/>
    <s v="松澤　宏樹　Koju Matsuzawa - +81(0)9085642901"/>
    <x v="15"/>
    <n v="4"/>
  </r>
  <r>
    <n v="179"/>
    <n v="179"/>
    <x v="15"/>
    <s v="Fundo La Libertad"/>
    <s v="301R"/>
    <s v="Planta Callao"/>
    <s v="Itochu Corporation"/>
    <s v="1600"/>
    <n v="488"/>
    <s v="Convertido"/>
    <x v="77"/>
    <s v="Sandro Crispin Espiritu"/>
    <n v="275"/>
    <s v="69 kg"/>
    <s v="Japan Coffee Exchange"/>
    <s v="2022 / 2023"/>
    <s v="July 11th, 2022"/>
    <s v="Kiichiro Iwata"/>
    <s v="Caturra"/>
    <s v="Completed"/>
    <s v="Washed / Wet"/>
    <x v="2"/>
    <x v="2"/>
    <n v="7.33"/>
    <n v="7.5"/>
    <n v="7.33"/>
    <x v="3"/>
    <n v="10"/>
    <n v="10"/>
    <n v="10"/>
    <n v="7.42"/>
    <n v="81.92"/>
    <n v="11.6"/>
    <n v="0"/>
    <n v="2"/>
    <s v="greenish"/>
    <n v="2"/>
    <s v="July 11th, 2023"/>
    <s v="Japan Coffee Exchange"/>
    <s v="〒413-0002 静岡県熱海市伊豆山１１７３−５８ 1173-58 Izusan, Atami, Shizuoka, 413-0002 JAPAN"/>
    <s v="松澤　宏樹　Koju Matsuzawa - +81(0)9085642901"/>
    <x v="15"/>
    <n v="4"/>
  </r>
  <r>
    <n v="199"/>
    <n v="199"/>
    <x v="15"/>
    <s v="Fundo La Libertad"/>
    <s v="PR137"/>
    <s v="Callao Plant"/>
    <s v="Itochu Corporation"/>
    <s v="1600"/>
    <n v="488"/>
    <s v="Convertido"/>
    <x v="78"/>
    <s v="Sandro Crispin Espiritu"/>
    <n v="275"/>
    <s v="69 kg"/>
    <s v="Japan Coffee Exchange"/>
    <s v="2022 / 2023"/>
    <s v="June 10th, 2022"/>
    <s v="Kiichiro Iwata"/>
    <s v="Caturra"/>
    <s v="Completed"/>
    <s v="Washed / Wet"/>
    <x v="2"/>
    <x v="13"/>
    <n v="7.17"/>
    <n v="7.17"/>
    <n v="7.17"/>
    <x v="15"/>
    <n v="10"/>
    <n v="10"/>
    <n v="10"/>
    <n v="7"/>
    <n v="80.33"/>
    <n v="11.8"/>
    <n v="0"/>
    <n v="6"/>
    <s v="greenish"/>
    <n v="11"/>
    <s v="June 10th, 2023"/>
    <s v="Japan Coffee Exchange"/>
    <s v="〒413-0002 静岡県熱海市伊豆山１１７３−５８ 1173-58 Izusan, Atami, Shizuoka, 413-0002 JAPAN"/>
    <s v="松澤　宏樹　Koju Matsuzawa - +81(0)9085642901"/>
    <x v="15"/>
    <n v="4"/>
  </r>
  <r>
    <n v="1"/>
    <n v="1"/>
    <x v="16"/>
    <s v="Royal Bean Geisha Estate"/>
    <s v="The 2022 Pacific Rim Coffee Summit,T037"/>
    <s v="Royal Bean Geisha Estate"/>
    <s v="Taiwan Coffee Laboratory"/>
    <s v="1200"/>
    <n v="366"/>
    <s v="Convertido"/>
    <x v="79"/>
    <s v="曾福森"/>
    <n v="1"/>
    <s v="80 kg"/>
    <s v="Taiwan Coffee Laboratory 台灣咖啡研究室"/>
    <s v="2021 / 2022"/>
    <s v="November 15th, 2022"/>
    <s v="Taiwan Coffee Laboratory 台灣咖啡研究室"/>
    <s v="Gesha"/>
    <s v="Completed"/>
    <s v="Washed / Wet"/>
    <x v="17"/>
    <x v="7"/>
    <n v="7.92"/>
    <n v="8"/>
    <n v="7.92"/>
    <x v="17"/>
    <n v="10"/>
    <n v="10"/>
    <n v="10"/>
    <n v="8.5"/>
    <n v="87.58"/>
    <n v="10.5"/>
    <n v="0"/>
    <n v="0"/>
    <s v="blue-green"/>
    <n v="0"/>
    <s v="November 15th, 2023"/>
    <s v="Taiwan Coffee Laboratory 台灣咖啡研究室"/>
    <s v="QAHWAH CO., LTD 4F, No. 225, Sec. 3, Beixin Rd., Xindian Dist. New Taipei City, Taiwan"/>
    <s v="Lin, Jen-An Neil 林仁安 - 886-289116612"/>
    <x v="16"/>
    <n v="61"/>
  </r>
  <r>
    <n v="6"/>
    <n v="6"/>
    <x v="16"/>
    <s v="野牡丹咖啡莊園 Melastoma Coffee Estate"/>
    <s v="The 2022 Pacific Rim Coffee Summit,T034"/>
    <s v="野牡丹咖啡"/>
    <s v="Taiwan Coffee Laboratory"/>
    <s v="1250"/>
    <n v="381"/>
    <s v="Convertido"/>
    <x v="79"/>
    <s v="黃保錫"/>
    <n v="1"/>
    <s v="27 kg"/>
    <s v="Taiwan Coffee Laboratory 台灣咖啡研究室"/>
    <s v="2021 / 2022"/>
    <s v="November 15th, 2022"/>
    <s v="Taiwan Coffee Laboratory 台灣咖啡研究室"/>
    <s v="Gesha"/>
    <s v="Completed"/>
    <s v="Washed / Wet"/>
    <x v="7"/>
    <x v="14"/>
    <n v="8.08"/>
    <n v="8"/>
    <n v="7.83"/>
    <x v="17"/>
    <n v="10"/>
    <n v="10"/>
    <n v="10"/>
    <n v="8.25"/>
    <n v="86.92"/>
    <n v="9.1"/>
    <n v="0"/>
    <n v="0"/>
    <s v="green"/>
    <n v="0"/>
    <s v="November 15th, 2023"/>
    <s v="Taiwan Coffee Laboratory 台灣咖啡研究室"/>
    <s v="QAHWAH CO., LTD 4F, No. 225, Sec. 3, Beixin Rd., Xindian Dist. New Taipei City, Taiwan"/>
    <s v="Lin, Jen-An Neil 林仁安 - 886-289116612"/>
    <x v="16"/>
    <n v="61"/>
  </r>
  <r>
    <n v="7"/>
    <n v="7"/>
    <x v="16"/>
    <s v="七彩琉璃咖啡莊園 Chi Tsai Liu Li Ecological Farm"/>
    <s v="The 2022 Pacific Rim Coffee Summit,T050"/>
    <s v="七彩琉璃咖啡莊園"/>
    <s v="Taiwan Coffee Laboratory"/>
    <s v="1200"/>
    <n v="366"/>
    <s v="Convertido"/>
    <x v="79"/>
    <s v="莊家榮"/>
    <n v="1"/>
    <s v="90 kg"/>
    <s v="Taiwan Coffee Laboratory 台灣咖啡研究室"/>
    <s v="2021 / 2022"/>
    <s v="November 15th, 2022"/>
    <s v="Taiwan Coffee Laboratory 台灣咖啡研究室"/>
    <s v="Sl34+Gesha"/>
    <s v="Completed"/>
    <s v="Natural / Dry"/>
    <x v="18"/>
    <x v="17"/>
    <n v="8.17"/>
    <n v="8"/>
    <n v="7.92"/>
    <x v="13"/>
    <n v="10"/>
    <n v="10"/>
    <n v="10"/>
    <n v="8.08"/>
    <n v="86.75"/>
    <n v="10"/>
    <n v="0"/>
    <n v="0"/>
    <s v="yellow green"/>
    <n v="1"/>
    <s v="November 15th, 2023"/>
    <s v="Taiwan Coffee Laboratory 台灣咖啡研究室"/>
    <s v="QAHWAH CO., LTD 4F, No. 225, Sec. 3, Beixin Rd., Xindian Dist. New Taipei City, Taiwan"/>
    <s v="Lin, Jen-An Neil 林仁安 - 886-289116612"/>
    <x v="16"/>
    <n v="61"/>
  </r>
  <r>
    <n v="8"/>
    <n v="8"/>
    <x v="16"/>
    <s v="亮軒咖啡莊園 Liang Xuan Coffee Farm"/>
    <s v="The 2022 Pacific Rim Coffee Summit,T018"/>
    <s v="亮軒咖啡莊園"/>
    <s v="Taiwan Coffee Laboratory"/>
    <s v="1250"/>
    <n v="381"/>
    <s v="Convertido"/>
    <x v="79"/>
    <s v="鍾旭亮"/>
    <n v="1"/>
    <s v="30 kg"/>
    <s v="Taiwan Coffee Laboratory 台灣咖啡研究室"/>
    <s v="2021 / 2022"/>
    <s v="November 15th, 2022"/>
    <s v="Taiwan Coffee Laboratory 台灣咖啡研究室"/>
    <s v="SL34"/>
    <s v="Completed"/>
    <s v="Washed / Wet"/>
    <x v="8"/>
    <x v="0"/>
    <n v="8.25"/>
    <n v="8.08"/>
    <n v="7.92"/>
    <x v="9"/>
    <n v="10"/>
    <n v="10"/>
    <n v="10"/>
    <n v="8.25"/>
    <n v="86.67"/>
    <n v="10.8"/>
    <n v="0"/>
    <n v="0"/>
    <s v="greenish"/>
    <n v="0"/>
    <s v="November 15th, 2023"/>
    <s v="Taiwan Coffee Laboratory 台灣咖啡研究室"/>
    <s v="QAHWAH CO., LTD 4F, No. 225, Sec. 3, Beixin Rd., Xindian Dist. New Taipei City, Taiwan"/>
    <s v="Lin, Jen-An Neil 林仁安 - 886-289116612"/>
    <x v="16"/>
    <n v="61"/>
  </r>
  <r>
    <n v="12"/>
    <n v="12"/>
    <x v="16"/>
    <s v="古峰咖啡莊園 Goodfun Coffee Farm"/>
    <s v="The 2022 Pacific Rim Coffee Summit,T051"/>
    <s v="古峰咖啡莊園"/>
    <s v="Taiwan Coffee Laboratory"/>
    <s v="1250"/>
    <n v="381"/>
    <s v="Convertido"/>
    <x v="80"/>
    <s v="賴彥合"/>
    <n v="1"/>
    <s v="60 kg"/>
    <s v="Taiwan Coffee Laboratory 台灣咖啡研究室"/>
    <s v="2021 / 2022"/>
    <s v="November 15th, 2022"/>
    <s v="Goodfun"/>
    <s v="Gesha"/>
    <s v="Completed"/>
    <s v="Washed / Wet"/>
    <x v="8"/>
    <x v="9"/>
    <n v="8.08"/>
    <n v="8.08"/>
    <n v="8"/>
    <x v="9"/>
    <n v="10"/>
    <n v="10"/>
    <n v="10"/>
    <n v="8"/>
    <n v="86.25"/>
    <n v="11.9"/>
    <n v="0"/>
    <n v="0"/>
    <s v="green"/>
    <n v="0"/>
    <s v="November 15th, 2023"/>
    <s v="Taiwan Coffee Laboratory 台灣咖啡研究室"/>
    <s v="QAHWAH CO., LTD 4F, No. 225, Sec. 3, Beixin Rd., Xindian Dist. New Taipei City, Taiwan"/>
    <s v="Lin, Jen-An Neil 林仁安 - 886-289116612"/>
    <x v="16"/>
    <n v="61"/>
  </r>
  <r>
    <n v="15"/>
    <n v="15"/>
    <x v="16"/>
    <s v="青葉咖啡莊園"/>
    <s v="The 2022 Pacific Rim Coffee Summit,T014"/>
    <s v="青葉咖啡莊園"/>
    <s v="Taiwan Coffee Laboratory"/>
    <s v="1100"/>
    <n v="335"/>
    <s v="Convertido"/>
    <x v="79"/>
    <s v="葉世遠"/>
    <n v="1"/>
    <s v="60 kg"/>
    <s v="Taiwan Coffee Laboratory 台灣咖啡研究室"/>
    <s v="2021 / 2022"/>
    <s v="November 15th, 2022"/>
    <s v="Taiwan Coffee Laboratory 台灣咖啡研究室"/>
    <s v="SL34"/>
    <s v="Completed"/>
    <s v="Pulped natural / honey"/>
    <x v="16"/>
    <x v="0"/>
    <n v="8"/>
    <n v="7.92"/>
    <n v="8"/>
    <x v="8"/>
    <n v="10"/>
    <n v="10"/>
    <n v="10"/>
    <n v="8"/>
    <n v="86.08"/>
    <n v="10.199999999999999"/>
    <n v="0"/>
    <n v="0"/>
    <s v="green"/>
    <n v="0"/>
    <s v="November 15th, 2023"/>
    <s v="Taiwan Coffee Laboratory 台灣咖啡研究室"/>
    <s v="QAHWAH CO., LTD 4F, No. 225, Sec. 3, Beixin Rd., Xindian Dist. New Taipei City, Taiwan"/>
    <s v="Lin, Jen-An Neil 林仁安 - 886-289116612"/>
    <x v="16"/>
    <n v="61"/>
  </r>
  <r>
    <n v="17"/>
    <n v="17"/>
    <x v="16"/>
    <s v="東璧咖啡莊園"/>
    <s v="202203"/>
    <s v="yes"/>
    <s v="Dongbi coffee"/>
    <s v="1300"/>
    <n v="396"/>
    <s v="Convertido"/>
    <x v="81"/>
    <s v="陳景立"/>
    <n v="5"/>
    <s v="2 kg"/>
    <s v="Blossom Valley International宸嶧國際"/>
    <s v="2022"/>
    <s v="October 24th, 2022"/>
    <s v="Dongbi"/>
    <s v="Gesha"/>
    <s v="Completed"/>
    <s v="Natural / Dry"/>
    <x v="12"/>
    <x v="14"/>
    <n v="8"/>
    <n v="7.92"/>
    <n v="7.92"/>
    <x v="8"/>
    <n v="10"/>
    <n v="10"/>
    <n v="10"/>
    <n v="8.17"/>
    <n v="86.08"/>
    <n v="10.3"/>
    <n v="0"/>
    <n v="0"/>
    <s v="yellow-green"/>
    <n v="0"/>
    <s v="October 24th, 2023"/>
    <s v="Blossom Valley International宸嶧國際"/>
    <s v="No.72 Mo-Fan St. Taiwan Zip: 403"/>
    <s v="Damon Chen陳嘉峻 - +886423022323"/>
    <x v="16"/>
    <n v="61"/>
  </r>
  <r>
    <n v="18"/>
    <n v="18"/>
    <x v="16"/>
    <s v="櫻桃果古坑咖啡莊園"/>
    <s v="202112"/>
    <s v="yes"/>
    <s v="宸嶧國際有限公司"/>
    <s v="1200"/>
    <n v="366"/>
    <s v="Convertido"/>
    <x v="82"/>
    <s v="王瀅惠"/>
    <n v="8"/>
    <s v="1 kg"/>
    <s v="Blossom Valley International宸嶧國際"/>
    <s v="2021 / 2022"/>
    <s v="October 24th, 2022"/>
    <s v="王瀅惠"/>
    <s v="Gesha"/>
    <s v="Completed"/>
    <s v="Natural / Dry"/>
    <x v="8"/>
    <x v="14"/>
    <n v="7.75"/>
    <n v="7.92"/>
    <n v="7.83"/>
    <x v="9"/>
    <n v="10"/>
    <n v="10"/>
    <n v="10"/>
    <n v="8.17"/>
    <n v="85.92"/>
    <n v="11"/>
    <n v="0"/>
    <n v="0"/>
    <s v="brownish"/>
    <n v="1"/>
    <s v="October 24th, 2023"/>
    <s v="Blossom Valley International宸嶧國際"/>
    <s v="No.72 Mo-Fan St. Taiwan Zip: 403"/>
    <s v="Damon Chen陳嘉峻 - +886423022323"/>
    <x v="16"/>
    <n v="61"/>
  </r>
  <r>
    <n v="21"/>
    <n v="21"/>
    <x v="16"/>
    <s v="仲大叔咖啡莊園Uncle Chung.s Coffee Farm"/>
    <s v="2022/03"/>
    <s v="仲大叔咖啡莊園Uncle Chung.s Coffee Farm"/>
    <s v="Taiwan Coffee Laboratory"/>
    <s v="850"/>
    <n v="259"/>
    <s v="Convertido"/>
    <x v="83"/>
    <s v="游婷淯 YU TING YU"/>
    <n v="1"/>
    <s v="20 kg"/>
    <s v="Taiwan Coffee Laboratory 台灣咖啡研究室"/>
    <s v="2022"/>
    <s v="December 12th, 2022"/>
    <s v="Yu Ting Yu 游婷淯"/>
    <s v="Typica"/>
    <s v="Completed"/>
    <s v="Natural / Dry"/>
    <x v="8"/>
    <x v="9"/>
    <n v="7.92"/>
    <n v="7.92"/>
    <n v="8"/>
    <x v="0"/>
    <n v="10"/>
    <n v="10"/>
    <n v="10"/>
    <n v="7.92"/>
    <n v="85.67"/>
    <n v="10.4"/>
    <n v="0"/>
    <n v="0"/>
    <s v="green"/>
    <n v="0"/>
    <s v="December 12th, 2023"/>
    <s v="Taiwan Coffee Laboratory 台灣咖啡研究室"/>
    <s v="QAHWAH CO., LTD 4F, No. 225, Sec. 3, Beixin Rd., Xindian Dist. New Taipei City, Taiwan"/>
    <s v="Lin, Jen-An Neil 林仁安 - 886-289116612"/>
    <x v="16"/>
    <n v="61"/>
  </r>
  <r>
    <n v="24"/>
    <n v="24"/>
    <x v="16"/>
    <s v="永舜咖啡莊園"/>
    <s v="The 2022 Pacific Rim Coffee Summit, T003"/>
    <s v="永舜咖啡莊園"/>
    <s v="Taiwan Coffee Laboratory"/>
    <s v="1250"/>
    <n v="381"/>
    <s v="Convertido"/>
    <x v="80"/>
    <s v="蘇甘永"/>
    <n v="4"/>
    <s v="50 kg"/>
    <s v="Taiwan Coffee Laboratory 台灣咖啡研究室"/>
    <s v="2021 / 2022"/>
    <s v="November 15th, 2022"/>
    <s v="Taiwan Coffee Laboratory 台灣咖啡研究室"/>
    <s v="SL34"/>
    <s v="Completed"/>
    <s v="Washed / Wet"/>
    <x v="0"/>
    <x v="9"/>
    <n v="7.92"/>
    <n v="8"/>
    <n v="8"/>
    <x v="8"/>
    <n v="10"/>
    <n v="10"/>
    <n v="10"/>
    <n v="7.92"/>
    <n v="85.58"/>
    <n v="10.6"/>
    <n v="0"/>
    <n v="0"/>
    <s v="bluish-green"/>
    <n v="0"/>
    <s v="November 15th, 2023"/>
    <s v="Taiwan Coffee Laboratory 台灣咖啡研究室"/>
    <s v="QAHWAH CO., LTD 4F, No. 225, Sec. 3, Beixin Rd., Xindian Dist. New Taipei City, Taiwan"/>
    <s v="Lin, Jen-An Neil 林仁安 - 886-289116612"/>
    <x v="16"/>
    <n v="61"/>
  </r>
  <r>
    <n v="26"/>
    <n v="26"/>
    <x v="16"/>
    <s v="鄒築園ZouZhouYuan"/>
    <s v="The 2022 Pacific Rim Coffee Summit,T024"/>
    <s v="鄒築園ZouZhouYuan"/>
    <s v="Taiwan Coffee Laboratory"/>
    <s v="1300"/>
    <n v="396"/>
    <s v="Convertido"/>
    <x v="79"/>
    <s v="方政倫"/>
    <n v="1"/>
    <s v="100 kg"/>
    <s v="Taiwan Coffee Laboratory 台灣咖啡研究室"/>
    <s v="2021 / 2022"/>
    <s v="November 15th, 2022"/>
    <s v="Fang, Cheng Lun 方政倫"/>
    <s v="Gesha"/>
    <s v="Completed"/>
    <s v="Natural / Dry"/>
    <x v="11"/>
    <x v="1"/>
    <n v="8"/>
    <n v="7.92"/>
    <n v="7.83"/>
    <x v="8"/>
    <n v="10"/>
    <n v="10"/>
    <n v="10"/>
    <n v="8"/>
    <n v="85.5"/>
    <n v="9.1"/>
    <n v="0"/>
    <n v="0"/>
    <s v="green"/>
    <n v="2"/>
    <s v="November 15th, 2023"/>
    <s v="Taiwan Coffee Laboratory 台灣咖啡研究室"/>
    <s v="QAHWAH CO., LTD 4F, No. 225, Sec. 3, Beixin Rd., Xindian Dist. New Taipei City, Taiwan"/>
    <s v="Lin, Jen-An Neil 林仁安 - 886-289116612"/>
    <x v="16"/>
    <n v="61"/>
  </r>
  <r>
    <n v="27"/>
    <n v="27"/>
    <x v="16"/>
    <s v="嵩岳咖啡莊園"/>
    <s v="The 2022 Pacific Rim Coffee Summit,T048"/>
    <s v="嵩岳咖啡莊園"/>
    <s v="Taiwan Coffee Laboratory"/>
    <s v="1200"/>
    <n v="366"/>
    <s v="Convertido"/>
    <x v="80"/>
    <s v="郭志豪"/>
    <n v="1"/>
    <s v="90 kg"/>
    <s v="Taiwan Coffee Laboratory 台灣咖啡研究室"/>
    <s v="2021 / 2022"/>
    <s v="November 15th, 2022"/>
    <s v="Jhih Hao,GUO 郭志豪"/>
    <s v="Gesha"/>
    <s v="Completed"/>
    <s v="Natural / Dry"/>
    <x v="16"/>
    <x v="0"/>
    <n v="7.92"/>
    <n v="8"/>
    <n v="7.58"/>
    <x v="0"/>
    <n v="10"/>
    <n v="10"/>
    <n v="10"/>
    <n v="7.92"/>
    <n v="85.5"/>
    <n v="10.6"/>
    <n v="0"/>
    <n v="0"/>
    <s v="green"/>
    <n v="0"/>
    <s v="November 15th, 2023"/>
    <s v="Taiwan Coffee Laboratory 台灣咖啡研究室"/>
    <s v="QAHWAH CO., LTD 4F, No. 225, Sec. 3, Beixin Rd., Xindian Dist. New Taipei City, Taiwan"/>
    <s v="Lin, Jen-An Neil 林仁安 - 886-289116612"/>
    <x v="16"/>
    <n v="61"/>
  </r>
  <r>
    <n v="28"/>
    <n v="28"/>
    <x v="16"/>
    <s v="他扶芽有機農園"/>
    <s v="The 2022 Pacific Rim Coffee Summit,T045"/>
    <s v="他扶芽有機農園"/>
    <s v="Taiwan Coffee Laboratory"/>
    <s v="1060"/>
    <n v="323"/>
    <s v="Convertido"/>
    <x v="79"/>
    <s v="陳清龍"/>
    <n v="1"/>
    <s v="85 kg"/>
    <s v="Taiwan Coffee Laboratory 台灣咖啡研究室"/>
    <s v="2021 / 2022"/>
    <s v="November 15th, 2022"/>
    <s v="Taiwan Coffee Laboratory 台灣咖啡研究室"/>
    <s v="Gesha"/>
    <s v="Completed"/>
    <s v="Natural / Dry"/>
    <x v="12"/>
    <x v="9"/>
    <n v="8"/>
    <n v="7.92"/>
    <n v="7.75"/>
    <x v="8"/>
    <n v="10"/>
    <n v="10"/>
    <n v="10"/>
    <n v="7.92"/>
    <n v="85.5"/>
    <n v="10.199999999999999"/>
    <n v="0"/>
    <n v="0"/>
    <s v="blue-green"/>
    <n v="0"/>
    <s v="November 15th, 2023"/>
    <s v="Taiwan Coffee Laboratory 台灣咖啡研究室"/>
    <s v="QAHWAH CO., LTD 4F, No. 225, Sec. 3, Beixin Rd., Xindian Dist. New Taipei City, Taiwan"/>
    <s v="Lin, Jen-An Neil 林仁安 - 886-289116612"/>
    <x v="16"/>
    <n v="61"/>
  </r>
  <r>
    <n v="30"/>
    <n v="30"/>
    <x v="16"/>
    <s v="鄉庭有機農場Siang-Ting Organic Farm"/>
    <s v="2022/3/1(老叢)"/>
    <s v="鄉庭有機農場Siang-Ting Organic Farm"/>
    <s v="Taiwan Coffee Laboratory"/>
    <s v="150-250"/>
    <e v="#VALUE!"/>
    <s v="Convertido"/>
    <x v="84"/>
    <s v="張進義Zhang Jin-Yi"/>
    <n v="3"/>
    <s v="48 kg"/>
    <s v="Taiwan Coffee Laboratory 台灣咖啡研究室"/>
    <s v="2022"/>
    <s v="December 12th, 2022"/>
    <s v="Zhang Jin Yi 張進義"/>
    <s v="Typica"/>
    <s v="Completed"/>
    <s v="Washed / Wet"/>
    <x v="12"/>
    <x v="9"/>
    <n v="7.83"/>
    <n v="7.83"/>
    <n v="7.75"/>
    <x v="8"/>
    <n v="10"/>
    <n v="10"/>
    <n v="10"/>
    <n v="8.08"/>
    <n v="85.42"/>
    <n v="11.4"/>
    <n v="0"/>
    <n v="0"/>
    <s v="bluish-green"/>
    <n v="0"/>
    <s v="December 12th, 2023"/>
    <s v="Taiwan Coffee Laboratory 台灣咖啡研究室"/>
    <s v="QAHWAH CO., LTD 4F, No. 225, Sec. 3, Beixin Rd., Xindian Dist. New Taipei City, Taiwan"/>
    <s v="Lin, Jen-An Neil 林仁安 - 886-289116612"/>
    <x v="16"/>
    <n v="61"/>
  </r>
  <r>
    <n v="31"/>
    <n v="31"/>
    <x v="16"/>
    <s v="鄉庭有機農場Siang-Ting Organic Farm"/>
    <s v="2022/02"/>
    <s v="鄉庭有機農場Siang-Ting Organic Farm"/>
    <s v="Taiwan Coffee Laboratory"/>
    <s v="150-250"/>
    <e v="#VALUE!"/>
    <s v="Convertido"/>
    <x v="84"/>
    <s v="張進義Zhang Jin-Yi"/>
    <n v="3"/>
    <s v="50 kg"/>
    <s v="Taiwan Coffee Laboratory 台灣咖啡研究室"/>
    <s v="2022"/>
    <s v="December 12th, 2022"/>
    <s v="Zhang Jin Yi 張進義"/>
    <s v="Typica"/>
    <s v="Completed"/>
    <s v="Washed / Wet"/>
    <x v="11"/>
    <x v="9"/>
    <n v="7.83"/>
    <n v="7.92"/>
    <n v="7.83"/>
    <x v="0"/>
    <n v="10"/>
    <n v="10"/>
    <n v="10"/>
    <n v="8"/>
    <n v="85.33"/>
    <n v="10.8"/>
    <n v="0"/>
    <n v="0"/>
    <s v="green"/>
    <n v="0"/>
    <s v="December 12th, 2023"/>
    <s v="Taiwan Coffee Laboratory 台灣咖啡研究室"/>
    <s v="QAHWAH CO., LTD 4F, No. 225, Sec. 3, Beixin Rd., Xindian Dist. New Taipei City, Taiwan"/>
    <s v="Lin, Jen-An Neil 林仁安 - 886-289116612"/>
    <x v="16"/>
    <n v="61"/>
  </r>
  <r>
    <n v="32"/>
    <n v="32"/>
    <x v="16"/>
    <s v="金讚咖啡農莊園(Jinzan Coffee Estate)"/>
    <s v="2022臺南市精品咖啡評鑑批次"/>
    <s v="金讚咖啡農莊園(Jinzan Coffee Estate)"/>
    <s v="Taiwan Coffee Laboratory"/>
    <s v="668"/>
    <n v="204"/>
    <s v="Convertido"/>
    <x v="85"/>
    <s v="葉明讚 (YE,MING-ZAN)"/>
    <n v="4"/>
    <s v="5 kg"/>
    <s v="Taiwan Coffee Laboratory 台灣咖啡研究室"/>
    <s v="2022"/>
    <s v="June 8th, 2022"/>
    <s v="Taiwan Coffee Laboratory 台灣咖啡研究室"/>
    <s v="Gesha"/>
    <s v="Completed"/>
    <s v="Washed / Wet"/>
    <x v="8"/>
    <x v="14"/>
    <n v="7.67"/>
    <n v="7.83"/>
    <n v="7.67"/>
    <x v="8"/>
    <n v="10"/>
    <n v="10"/>
    <n v="10"/>
    <n v="8"/>
    <n v="85.33"/>
    <n v="11.3"/>
    <n v="0"/>
    <n v="0"/>
    <s v="green"/>
    <n v="0"/>
    <s v="June 8th, 2023"/>
    <s v="Taiwan Coffee Laboratory 台灣咖啡研究室"/>
    <s v="QAHWAH CO., LTD 4F, No. 225, Sec. 3, Beixin Rd., Xindian Dist. New Taipei City, Taiwan"/>
    <s v="Lin, Jen-An Neil 林仁安 - 886-289116612"/>
    <x v="16"/>
    <n v="61"/>
  </r>
  <r>
    <n v="36"/>
    <n v="36"/>
    <x v="16"/>
    <s v="卓武山咖啡農場"/>
    <s v="The 2022 Pacific Rim Coffee Summit, T004"/>
    <s v="卓武山咖啡農場"/>
    <s v="Taiwan Coffee Laboratory"/>
    <s v="1200"/>
    <n v="366"/>
    <s v="Convertido"/>
    <x v="79"/>
    <s v="許定燁"/>
    <n v="1"/>
    <s v="100 kg"/>
    <s v="Taiwan Coffee Laboratory 台灣咖啡研究室"/>
    <s v="2021 / 2022"/>
    <s v="November 15th, 2022"/>
    <s v="Hsu Ting Yey許定燁"/>
    <s v="Gesha"/>
    <s v="Completed"/>
    <s v="Washed / Wet"/>
    <x v="12"/>
    <x v="1"/>
    <n v="7.83"/>
    <n v="7.92"/>
    <n v="7.83"/>
    <x v="0"/>
    <n v="10"/>
    <n v="10"/>
    <n v="10"/>
    <n v="7.92"/>
    <n v="85.25"/>
    <n v="9.5"/>
    <n v="0"/>
    <n v="0"/>
    <s v="bluish-green"/>
    <n v="0"/>
    <s v="November 15th, 2023"/>
    <s v="Taiwan Coffee Laboratory 台灣咖啡研究室"/>
    <s v="QAHWAH CO., LTD 4F, No. 225, Sec. 3, Beixin Rd., Xindian Dist. New Taipei City, Taiwan"/>
    <s v="Lin, Jen-An Neil 林仁安 - 886-289116612"/>
    <x v="16"/>
    <n v="61"/>
  </r>
  <r>
    <n v="37"/>
    <n v="37"/>
    <x v="16"/>
    <s v="御香咖啡園 YU SIANG Coffee Estate"/>
    <s v="2022臺南市精品咖啡評鑑批次"/>
    <s v="御香咖啡園 YU SIANG Coffee Estate"/>
    <s v="Taiwan Coffee Laboratory"/>
    <s v="650"/>
    <n v="198"/>
    <s v="Convertido"/>
    <x v="85"/>
    <s v="陳建源(CHEN, JIAN-YUAN)"/>
    <n v="20"/>
    <s v="5 kg"/>
    <s v="Taiwan Coffee Laboratory 台灣咖啡研究室"/>
    <s v="2022"/>
    <s v="June 8th, 2022"/>
    <s v="Taiwan Coffee Laboratory 台灣咖啡研究室"/>
    <s v="Gesha"/>
    <s v="Completed"/>
    <s v="Pulped natural / honey"/>
    <x v="18"/>
    <x v="0"/>
    <n v="7.83"/>
    <n v="7.75"/>
    <n v="7.67"/>
    <x v="11"/>
    <n v="10"/>
    <n v="10"/>
    <n v="10"/>
    <n v="7.92"/>
    <n v="85.25"/>
    <n v="11.3"/>
    <n v="0"/>
    <n v="0"/>
    <s v="green"/>
    <n v="0"/>
    <s v="June 8th, 2023"/>
    <s v="Taiwan Coffee Laboratory 台灣咖啡研究室"/>
    <s v="QAHWAH CO., LTD 4F, No. 225, Sec. 3, Beixin Rd., Xindian Dist. New Taipei City, Taiwan"/>
    <s v="Lin, Jen-An Neil 林仁安 - 886-289116612"/>
    <x v="16"/>
    <n v="61"/>
  </r>
  <r>
    <n v="39"/>
    <n v="39"/>
    <x v="16"/>
    <s v="皇庭咖啡莊園"/>
    <s v="202203"/>
    <s v="yes"/>
    <s v="宸嶧國際有限公司"/>
    <s v="850"/>
    <n v="259"/>
    <s v="Convertido"/>
    <x v="86"/>
    <s v="陳榮豐"/>
    <n v="20"/>
    <s v="1 kg"/>
    <s v="Blossom Valley International宸嶧國際"/>
    <s v="2017 / 2018"/>
    <s v="October 24th, 2022"/>
    <s v="CHEN RONG FENG"/>
    <s v="Gesha"/>
    <s v="Completed"/>
    <s v="Washed / Wet"/>
    <x v="9"/>
    <x v="1"/>
    <n v="7.75"/>
    <n v="8"/>
    <n v="7.83"/>
    <x v="8"/>
    <n v="10"/>
    <n v="10"/>
    <n v="10"/>
    <n v="8"/>
    <n v="85.17"/>
    <n v="10.3"/>
    <n v="0"/>
    <n v="0"/>
    <s v="bluish-green"/>
    <n v="0"/>
    <s v="October 24th, 2023"/>
    <s v="Blossom Valley International宸嶧國際"/>
    <s v="No.72 Mo-Fan St. Taiwan Zip: 403"/>
    <s v="Damon Chen陳嘉峻 - +886423022323"/>
    <x v="16"/>
    <n v="61"/>
  </r>
  <r>
    <n v="40"/>
    <n v="40"/>
    <x v="16"/>
    <s v="花蓮縣秀林鄉特用作物（咖啡）產銷第一班Agriculture Production and Marketing Groups of Hualien Shlin township special crop (coffee) 1st class"/>
    <s v="2022/01"/>
    <s v="花蓮縣秀林鄉特用作物（咖啡）產銷第一班Agriculture Production and Marketing Groups of Hualien Shlin township special crop (coffee) 1st class"/>
    <s v="Taiwan Coffee Laboratory"/>
    <s v="300-500"/>
    <e v="#VALUE!"/>
    <s v="Convertido"/>
    <x v="87"/>
    <s v="李志祥 Li Zhi-xia"/>
    <n v="1"/>
    <s v="10 kg"/>
    <s v="Taiwan Coffee Laboratory 台灣咖啡研究室"/>
    <s v="2022"/>
    <s v="December 12th, 2022"/>
    <s v="Taiwan Coffee Laboratory 台灣咖啡研究室"/>
    <s v="Typica"/>
    <s v="Completed"/>
    <s v="Natural / Dry"/>
    <x v="12"/>
    <x v="1"/>
    <n v="7.83"/>
    <n v="7.92"/>
    <n v="7.75"/>
    <x v="11"/>
    <n v="10"/>
    <n v="10"/>
    <n v="10"/>
    <n v="7.92"/>
    <n v="85.08"/>
    <n v="10"/>
    <n v="0"/>
    <n v="0"/>
    <s v="brownish"/>
    <n v="0"/>
    <s v="December 12th, 2023"/>
    <s v="Taiwan Coffee Laboratory 台灣咖啡研究室"/>
    <s v="QAHWAH CO., LTD 4F, No. 225, Sec. 3, Beixin Rd., Xindian Dist. New Taipei City, Taiwan"/>
    <s v="Lin, Jen-An Neil 林仁安 - 886-289116612"/>
    <x v="16"/>
    <n v="61"/>
  </r>
  <r>
    <n v="41"/>
    <n v="41"/>
    <x v="16"/>
    <s v="八一高地"/>
    <s v="屏東縣三地門鄉德文段"/>
    <s v="乾燥機、脫殼機"/>
    <s v="茂泰生技股份有限公司"/>
    <s v="1000"/>
    <n v="305"/>
    <s v="Convertido"/>
    <x v="88"/>
    <s v="陳科翰"/>
    <n v="1"/>
    <s v="2 kg"/>
    <s v="Taiwan Coffee Laboratory 台灣咖啡研究室"/>
    <s v="2021 / 2022"/>
    <s v="December 30th, 2022"/>
    <s v="Ethan Lee 李宗儒"/>
    <s v="Typica"/>
    <s v="Completed"/>
    <s v="Washed / Wet"/>
    <x v="12"/>
    <x v="0"/>
    <n v="7.67"/>
    <n v="7.75"/>
    <n v="7.92"/>
    <x v="0"/>
    <n v="10"/>
    <n v="10"/>
    <n v="10"/>
    <n v="7.83"/>
    <n v="85.08"/>
    <n v="10.5"/>
    <n v="0"/>
    <n v="0"/>
    <s v="greenish"/>
    <n v="0"/>
    <s v="December 30th, 2023"/>
    <s v="Taiwan Coffee Laboratory 台灣咖啡研究室"/>
    <s v="QAHWAH CO., LTD 4F, No. 225, Sec. 3, Beixin Rd., Xindian Dist. New Taipei City, Taiwan"/>
    <s v="Lin, Jen-An Neil 林仁安 - 886-289116612"/>
    <x v="16"/>
    <n v="61"/>
  </r>
  <r>
    <n v="42"/>
    <n v="42"/>
    <x v="16"/>
    <s v="香夾蘭莊園"/>
    <s v="A26-Northern Taiwan Specialty Coffee Evaluation"/>
    <s v="香夾蘭莊園"/>
    <s v="Taiwu Coffee Cooperative"/>
    <s v="800"/>
    <n v="244"/>
    <s v="Convertido"/>
    <x v="89"/>
    <s v="黃簡秋蘭"/>
    <n v="1"/>
    <s v="50 kg"/>
    <s v="Taiwan Coffee Laboratory 台灣咖啡研究室"/>
    <s v="2021 / 2022"/>
    <s v="January 6th, 2023"/>
    <s v="Taiwu"/>
    <s v="Gesha"/>
    <s v="Completed"/>
    <s v="Washed / Wet"/>
    <x v="12"/>
    <x v="1"/>
    <n v="7.67"/>
    <n v="8"/>
    <n v="7.75"/>
    <x v="0"/>
    <n v="10"/>
    <n v="10"/>
    <n v="10"/>
    <n v="7.92"/>
    <n v="85.08"/>
    <n v="10"/>
    <n v="0"/>
    <n v="0"/>
    <s v="pale yellow"/>
    <n v="5"/>
    <s v="January 6th, 2024"/>
    <s v="Taiwan Coffee Laboratory 台灣咖啡研究室"/>
    <s v="QAHWAH CO., LTD 4F, No. 225, Sec. 3, Beixin Rd., Xindian Dist. New Taipei City, Taiwan"/>
    <s v="Lin, Jen-An Neil 林仁安 - 886-289116612"/>
    <x v="16"/>
    <n v="61"/>
  </r>
  <r>
    <n v="44"/>
    <n v="44"/>
    <x v="16"/>
    <s v="愛姬咖啡莊園iGfarm"/>
    <s v="2021/01"/>
    <s v="愛姬咖啡莊園iGfarm"/>
    <s v="Taiwan Coffee Laboratory"/>
    <s v="150"/>
    <n v="46"/>
    <s v="Convertido"/>
    <x v="84"/>
    <s v="劉孟宗 LIU MENG TSUNG"/>
    <n v="1"/>
    <s v="50 kg"/>
    <s v="Taiwan Coffee Laboratory 台灣咖啡研究室"/>
    <s v="2021 / 2022"/>
    <s v="December 12th, 2022"/>
    <s v="Liu Meng Tsung劉孟宗"/>
    <s v="Typica"/>
    <s v="Completed"/>
    <s v=""/>
    <x v="11"/>
    <x v="9"/>
    <n v="7.92"/>
    <n v="8"/>
    <n v="7.58"/>
    <x v="11"/>
    <n v="10"/>
    <n v="10"/>
    <n v="10"/>
    <n v="7.83"/>
    <n v="85"/>
    <n v="10.9"/>
    <n v="0"/>
    <n v="0"/>
    <s v="green"/>
    <n v="0"/>
    <s v="December 12th, 2023"/>
    <s v="Taiwan Coffee Laboratory 台灣咖啡研究室"/>
    <s v="QAHWAH CO., LTD 4F, No. 225, Sec. 3, Beixin Rd., Xindian Dist. New Taipei City, Taiwan"/>
    <s v="Lin, Jen-An Neil 林仁安 - 886-289116612"/>
    <x v="16"/>
    <n v="61"/>
  </r>
  <r>
    <n v="45"/>
    <n v="45"/>
    <x v="16"/>
    <s v="青山坪咖啡農場"/>
    <s v="The 2022 Pacific Rim Coffee Summit,T011"/>
    <s v="青山坪咖啡農場"/>
    <s v="Taiwan Coffee Laboratory"/>
    <s v="800"/>
    <n v="244"/>
    <s v="Convertido"/>
    <x v="80"/>
    <s v="王清連"/>
    <n v="6"/>
    <s v="50 kg"/>
    <s v="Taiwan Coffee Laboratory 台灣咖啡研究室"/>
    <s v="2021 / 2022"/>
    <s v="November 15th, 2022"/>
    <s v="Taiwan Coffee Laboratory 台灣咖啡研究室"/>
    <s v="Gesha"/>
    <s v="Completed"/>
    <s v="Natural / Dry"/>
    <x v="16"/>
    <x v="0"/>
    <n v="7.83"/>
    <n v="7.67"/>
    <n v="7.67"/>
    <x v="11"/>
    <n v="10"/>
    <n v="10"/>
    <n v="10"/>
    <n v="7.83"/>
    <n v="85"/>
    <n v="10.1"/>
    <n v="0"/>
    <n v="0"/>
    <s v="yellow green"/>
    <n v="0"/>
    <s v="November 15th, 2023"/>
    <s v="Taiwan Coffee Laboratory 台灣咖啡研究室"/>
    <s v="QAHWAH CO., LTD 4F, No. 225, Sec. 3, Beixin Rd., Xindian Dist. New Taipei City, Taiwan"/>
    <s v="Lin, Jen-An Neil 林仁安 - 886-289116612"/>
    <x v="16"/>
    <n v="61"/>
  </r>
  <r>
    <n v="49"/>
    <n v="49"/>
    <x v="16"/>
    <s v="六曲窩"/>
    <s v="A03-Northern Taiwan Specialty Coffee Evaluation"/>
    <s v="六曲窩"/>
    <s v="Taiwu Coffee Cooperative"/>
    <s v="350-400"/>
    <e v="#VALUE!"/>
    <s v="Convertido"/>
    <x v="90"/>
    <s v="黃俊淦"/>
    <n v="1"/>
    <s v="13 kg"/>
    <s v="Taiwan Coffee Laboratory 台灣咖啡研究室"/>
    <s v="2021 / 2022"/>
    <s v="January 6th, 2023"/>
    <s v="Taiwu"/>
    <s v="Typica"/>
    <s v="Completed"/>
    <s v="Washed / Wet"/>
    <x v="11"/>
    <x v="1"/>
    <n v="7.83"/>
    <n v="7.83"/>
    <n v="7.75"/>
    <x v="0"/>
    <n v="10"/>
    <n v="10"/>
    <n v="10"/>
    <n v="7.83"/>
    <n v="84.92"/>
    <n v="9.5"/>
    <n v="0"/>
    <n v="0"/>
    <s v="green"/>
    <n v="2"/>
    <s v="January 6th, 2024"/>
    <s v="Taiwan Coffee Laboratory 台灣咖啡研究室"/>
    <s v="QAHWAH CO., LTD 4F, No. 225, Sec. 3, Beixin Rd., Xindian Dist. New Taipei City, Taiwan"/>
    <s v="Lin, Jen-An Neil 林仁安 - 886-289116612"/>
    <x v="16"/>
    <n v="61"/>
  </r>
  <r>
    <n v="50"/>
    <n v="50"/>
    <x v="16"/>
    <s v="北平山林"/>
    <s v="A23-Northern Taiwan Specialty Coffee Evaluation"/>
    <s v="北平山林"/>
    <s v="Taiwu Coffee Cooperative"/>
    <s v="230"/>
    <n v="70"/>
    <s v="Convertido"/>
    <x v="90"/>
    <s v="戴禎男"/>
    <n v="1"/>
    <s v="4 kg"/>
    <s v="Taiwan Coffee Laboratory 台灣咖啡研究室"/>
    <s v="2021 / 2022"/>
    <s v="January 6th, 2023"/>
    <s v="Taiwu"/>
    <s v="Yellow Bourbon"/>
    <s v="Completed"/>
    <s v="Natural / Dry"/>
    <x v="12"/>
    <x v="9"/>
    <n v="7.75"/>
    <n v="7.75"/>
    <n v="7.67"/>
    <x v="11"/>
    <n v="10"/>
    <n v="10"/>
    <n v="10"/>
    <n v="7.92"/>
    <n v="84.83"/>
    <n v="9.6999999999999993"/>
    <n v="0"/>
    <n v="0"/>
    <s v="brownish"/>
    <n v="0"/>
    <s v="January 6th, 2024"/>
    <s v="Taiwan Coffee Laboratory 台灣咖啡研究室"/>
    <s v="QAHWAH CO., LTD 4F, No. 225, Sec. 3, Beixin Rd., Xindian Dist. New Taipei City, Taiwan"/>
    <s v="Lin, Jen-An Neil 林仁安 - 886-289116612"/>
    <x v="16"/>
    <n v="61"/>
  </r>
  <r>
    <n v="54"/>
    <n v="54"/>
    <x v="16"/>
    <s v="優遊吧斯瑪翡咖啡莊園"/>
    <s v="The 2022 Pacific Rim Coffee Summit,T029"/>
    <s v="優遊吧斯瑪翡咖啡莊園"/>
    <s v="Taiwan Coffee Laboratory"/>
    <s v="1300"/>
    <n v="396"/>
    <s v="Convertido"/>
    <x v="79"/>
    <s v="鄭虞坪"/>
    <n v="1"/>
    <s v="25 kg"/>
    <s v="Taiwan Coffee Laboratory 台灣咖啡研究室"/>
    <s v="2021 / 2022"/>
    <s v="November 15th, 2022"/>
    <s v="Taiwan Coffee Laboratory 台灣咖啡研究室"/>
    <s v="SL34"/>
    <s v="Completed"/>
    <s v="Natural / Dry"/>
    <x v="0"/>
    <x v="11"/>
    <n v="7.67"/>
    <n v="7.67"/>
    <n v="7.83"/>
    <x v="9"/>
    <n v="10"/>
    <n v="10"/>
    <n v="10"/>
    <n v="8"/>
    <n v="84.83"/>
    <n v="9.5"/>
    <n v="0"/>
    <n v="0"/>
    <s v="greenish"/>
    <n v="0"/>
    <s v="November 15th, 2023"/>
    <s v="Taiwan Coffee Laboratory 台灣咖啡研究室"/>
    <s v="QAHWAH CO., LTD 4F, No. 225, Sec. 3, Beixin Rd., Xindian Dist. New Taipei City, Taiwan"/>
    <s v="Lin, Jen-An Neil 林仁安 - 886-289116612"/>
    <x v="16"/>
    <n v="61"/>
  </r>
  <r>
    <n v="55"/>
    <n v="55"/>
    <x v="16"/>
    <s v="森悅高峰咖啡莊園"/>
    <s v="The 2022 Pacific Rim Coffee Summit,T039"/>
    <s v="森悅高峰咖啡莊園"/>
    <s v="Taiwan Coffee Laboratory"/>
    <s v="1400"/>
    <n v="427"/>
    <s v="Convertido"/>
    <x v="91"/>
    <s v="吳振宏"/>
    <n v="1"/>
    <s v="30 kg"/>
    <s v="Taiwan Coffee Laboratory 台灣咖啡研究室"/>
    <s v="2021 / 2022"/>
    <s v="November 15th, 2022"/>
    <s v="Taiwan Coffee Laboratory 台灣咖啡研究室"/>
    <s v="SL34"/>
    <s v="Completed"/>
    <s v="Washed / Wet"/>
    <x v="10"/>
    <x v="1"/>
    <n v="7.92"/>
    <n v="7.83"/>
    <n v="7.75"/>
    <x v="0"/>
    <n v="10"/>
    <n v="10"/>
    <n v="10"/>
    <n v="7.83"/>
    <n v="84.75"/>
    <n v="10.4"/>
    <n v="0"/>
    <n v="0"/>
    <s v="green"/>
    <n v="0"/>
    <s v="November 15th, 2023"/>
    <s v="Taiwan Coffee Laboratory 台灣咖啡研究室"/>
    <s v="QAHWAH CO., LTD 4F, No. 225, Sec. 3, Beixin Rd., Xindian Dist. New Taipei City, Taiwan"/>
    <s v="Lin, Jen-An Neil 林仁安 - 886-289116612"/>
    <x v="16"/>
    <n v="61"/>
  </r>
  <r>
    <n v="58"/>
    <n v="58"/>
    <x v="16"/>
    <s v="嵐雲綠海咖啡"/>
    <s v="屏東縣瑪家鄉"/>
    <s v="乾燥機、脫殼機"/>
    <s v="茂泰生技股份有限公司"/>
    <s v="1200"/>
    <n v="366"/>
    <s v="Convertido"/>
    <x v="88"/>
    <s v="卓榮華"/>
    <n v="1"/>
    <s v="2 kg"/>
    <s v="Taiwan Coffee Laboratory 台灣咖啡研究室"/>
    <s v="2021 / 2022"/>
    <s v="December 30th, 2022"/>
    <s v="Ethan Lee 李宗儒"/>
    <s v="Yellow Bourbon"/>
    <s v="Completed"/>
    <s v="Pulped natural / honey"/>
    <x v="11"/>
    <x v="0"/>
    <n v="7.67"/>
    <n v="7.92"/>
    <n v="7.67"/>
    <x v="11"/>
    <n v="10"/>
    <n v="10"/>
    <n v="10"/>
    <n v="7.75"/>
    <n v="84.75"/>
    <n v="10"/>
    <n v="0"/>
    <n v="0"/>
    <s v="blue-green"/>
    <n v="0"/>
    <s v="December 30th, 2023"/>
    <s v="Taiwan Coffee Laboratory 台灣咖啡研究室"/>
    <s v="QAHWAH CO., LTD 4F, No. 225, Sec. 3, Beixin Rd., Xindian Dist. New Taipei City, Taiwan"/>
    <s v="Lin, Jen-An Neil 林仁安 - 886-289116612"/>
    <x v="16"/>
    <n v="61"/>
  </r>
  <r>
    <n v="62"/>
    <n v="62"/>
    <x v="16"/>
    <s v="羅馬8號莊園"/>
    <s v="A11-Northern Taiwan Specialty Coffee Evaluation"/>
    <s v="羅馬8號莊園"/>
    <s v="Taiwu Coffee Cooperative"/>
    <s v="200-300"/>
    <e v="#VALUE!"/>
    <s v="Convertido"/>
    <x v="90"/>
    <s v="羅政宏"/>
    <n v="1"/>
    <s v="16 kg"/>
    <s v="Taiwan Coffee Laboratory 台灣咖啡研究室"/>
    <s v="2021 / 2022"/>
    <s v="January 6th, 2023"/>
    <s v="Taiwu"/>
    <s v="Typica"/>
    <s v="Completed"/>
    <s v="Pulped natural / honey"/>
    <x v="0"/>
    <x v="11"/>
    <n v="7.75"/>
    <n v="7.75"/>
    <n v="7.75"/>
    <x v="11"/>
    <n v="10"/>
    <n v="10"/>
    <n v="10"/>
    <n v="7.92"/>
    <n v="84.58"/>
    <n v="9.6"/>
    <n v="0"/>
    <n v="0"/>
    <s v="greenish"/>
    <n v="0"/>
    <s v="January 6th, 2024"/>
    <s v="Taiwan Coffee Laboratory 台灣咖啡研究室"/>
    <s v="QAHWAH CO., LTD 4F, No. 225, Sec. 3, Beixin Rd., Xindian Dist. New Taipei City, Taiwan"/>
    <s v="Lin, Jen-An Neil 林仁安 - 886-289116612"/>
    <x v="16"/>
    <n v="61"/>
  </r>
  <r>
    <n v="63"/>
    <n v="63"/>
    <x v="16"/>
    <s v="大鋤花間(Dachu Coffee Estate)"/>
    <s v="2022臺南市精品咖啡評鑑批次"/>
    <s v="大鋤花間(Dachu Coffee Estate)"/>
    <s v="Taiwan Coffee Laboratory"/>
    <s v="700"/>
    <n v="213"/>
    <s v="Convertido"/>
    <x v="92"/>
    <s v="郭雅聰（KUO,YA-TSUNG）"/>
    <n v="16"/>
    <s v="5 kg"/>
    <s v="Taiwan Coffee Laboratory 台灣咖啡研究室"/>
    <s v="2022"/>
    <s v="June 8th, 2022"/>
    <s v="KUO, YA-TSUNG"/>
    <s v="Gesha"/>
    <s v="Completed"/>
    <s v="Pulped natural / honey"/>
    <x v="16"/>
    <x v="11"/>
    <n v="7.67"/>
    <n v="7.83"/>
    <n v="7.67"/>
    <x v="10"/>
    <n v="10"/>
    <n v="10"/>
    <n v="10"/>
    <n v="7.75"/>
    <n v="84.58"/>
    <n v="11.5"/>
    <n v="0"/>
    <n v="0"/>
    <s v="green"/>
    <n v="0"/>
    <s v="June 8th, 2023"/>
    <s v="Taiwan Coffee Laboratory 台灣咖啡研究室"/>
    <s v="QAHWAH CO., LTD 4F, No. 225, Sec. 3, Beixin Rd., Xindian Dist. New Taipei City, Taiwan"/>
    <s v="Lin, Jen-An Neil 林仁安 - 886-289116612"/>
    <x v="16"/>
    <n v="61"/>
  </r>
  <r>
    <n v="65"/>
    <n v="65"/>
    <x v="16"/>
    <s v="雅慕伊咖啡莊園"/>
    <s v="The 2022 Pacific Rim Coffee Summit,T036"/>
    <s v="雅慕伊咖啡莊園"/>
    <s v="Taiwan Coffee Laboratory"/>
    <s v="1250"/>
    <n v="381"/>
    <s v="Convertido"/>
    <x v="79"/>
    <s v="浦瀚文"/>
    <n v="1"/>
    <s v="80 kg"/>
    <s v="Taiwan Coffee Laboratory 台灣咖啡研究室"/>
    <s v="2021 / 2022"/>
    <s v="November 15th, 2022"/>
    <s v="Pu Han Wen"/>
    <s v="Gesha"/>
    <s v="Completed"/>
    <s v="Washed / Wet"/>
    <x v="8"/>
    <x v="11"/>
    <n v="7.67"/>
    <n v="7.67"/>
    <n v="7.67"/>
    <x v="11"/>
    <n v="10"/>
    <n v="10"/>
    <n v="10"/>
    <n v="7.92"/>
    <n v="84.58"/>
    <n v="11.2"/>
    <n v="0"/>
    <n v="0"/>
    <s v="green"/>
    <n v="2"/>
    <s v="November 15th, 2023"/>
    <s v="Taiwan Coffee Laboratory 台灣咖啡研究室"/>
    <s v="QAHWAH CO., LTD 4F, No. 225, Sec. 3, Beixin Rd., Xindian Dist. New Taipei City, Taiwan"/>
    <s v="Lin, Jen-An Neil 林仁安 - 886-289116612"/>
    <x v="16"/>
    <n v="61"/>
  </r>
  <r>
    <n v="66"/>
    <n v="66"/>
    <x v="16"/>
    <s v="名陽園"/>
    <s v="The 2022 Pacific Rim Coffee Summit,T042"/>
    <s v="名陽園"/>
    <s v="Taiwan Coffee Laboratory"/>
    <s v="1450"/>
    <n v="442"/>
    <s v="Convertido"/>
    <x v="79"/>
    <s v="王政淵"/>
    <n v="1"/>
    <s v="104 kg"/>
    <s v="Taiwan Coffee Laboratory 台灣咖啡研究室"/>
    <s v="2021 / 2022"/>
    <s v="November 15th, 2022"/>
    <s v="Taiwan Coffee Laboratory 台灣咖啡研究室"/>
    <s v="SL34"/>
    <s v="Completed"/>
    <s v="Natural / Dry"/>
    <x v="0"/>
    <x v="9"/>
    <n v="7.67"/>
    <n v="7.75"/>
    <n v="7.67"/>
    <x v="11"/>
    <n v="10"/>
    <n v="10"/>
    <n v="10"/>
    <n v="7.92"/>
    <n v="84.58"/>
    <n v="10.3"/>
    <n v="0"/>
    <n v="0"/>
    <s v="green"/>
    <n v="0"/>
    <s v="November 15th, 2023"/>
    <s v="Taiwan Coffee Laboratory 台灣咖啡研究室"/>
    <s v="QAHWAH CO., LTD 4F, No. 225, Sec. 3, Beixin Rd., Xindian Dist. New Taipei City, Taiwan"/>
    <s v="Lin, Jen-An Neil 林仁安 - 886-289116612"/>
    <x v="16"/>
    <n v="61"/>
  </r>
  <r>
    <n v="69"/>
    <n v="69"/>
    <x v="16"/>
    <s v="苗55咖啡莊園"/>
    <s v="A37-Northern Taiwan Specialty Coffee Evaluation"/>
    <s v="苗55咖啡莊園"/>
    <s v="Taiwu Coffee Cooperative"/>
    <s v="520"/>
    <n v="158"/>
    <s v="Convertido"/>
    <x v="89"/>
    <s v="李鴻儀"/>
    <n v="1"/>
    <s v="300 kg"/>
    <s v="Taiwan Coffee Laboratory 台灣咖啡研究室"/>
    <s v="2021 / 2022"/>
    <s v="January 6th, 2023"/>
    <s v="Taiwu"/>
    <s v="unknown"/>
    <s v="Completed"/>
    <s v="Pulped natural / honey"/>
    <x v="9"/>
    <x v="1"/>
    <n v="7.83"/>
    <n v="7.75"/>
    <n v="7.75"/>
    <x v="11"/>
    <n v="10"/>
    <n v="10"/>
    <n v="10"/>
    <n v="7.75"/>
    <n v="84.5"/>
    <n v="11.3"/>
    <n v="0"/>
    <n v="0"/>
    <s v="bluish-green"/>
    <n v="0"/>
    <s v="January 6th, 2024"/>
    <s v="Taiwan Coffee Laboratory 台灣咖啡研究室"/>
    <s v="QAHWAH CO., LTD 4F, No. 225, Sec. 3, Beixin Rd., Xindian Dist. New Taipei City, Taiwan"/>
    <s v="Lin, Jen-An Neil 林仁安 - 886-289116612"/>
    <x v="16"/>
    <n v="61"/>
  </r>
  <r>
    <n v="72"/>
    <n v="72"/>
    <x v="16"/>
    <s v="917農場 (917 Farm)"/>
    <s v="2021/11"/>
    <s v="917農場 (917 Farm)"/>
    <s v="Taiwan Coffee Laboratory"/>
    <s v="400"/>
    <n v="122"/>
    <s v="Convertido"/>
    <x v="93"/>
    <s v="黃怡瑄 Huang Yi-xuan"/>
    <n v="1"/>
    <s v="20 kg"/>
    <s v="Taiwan Coffee Laboratory 台灣咖啡研究室"/>
    <s v="2021 / 2022"/>
    <s v="December 12th, 2022"/>
    <s v="黃怡瑄"/>
    <s v="Typica"/>
    <s v="Completed"/>
    <s v="Natural / Dry"/>
    <x v="8"/>
    <x v="1"/>
    <n v="7.75"/>
    <n v="7.83"/>
    <n v="7.5"/>
    <x v="12"/>
    <n v="10"/>
    <n v="10"/>
    <n v="10"/>
    <n v="7.83"/>
    <n v="84.5"/>
    <n v="10.199999999999999"/>
    <n v="0"/>
    <n v="0"/>
    <s v="green"/>
    <n v="0"/>
    <s v="December 12th, 2023"/>
    <s v="Taiwan Coffee Laboratory 台灣咖啡研究室"/>
    <s v="QAHWAH CO., LTD 4F, No. 225, Sec. 3, Beixin Rd., Xindian Dist. New Taipei City, Taiwan"/>
    <s v="Lin, Jen-An Neil 林仁安 - 886-289116612"/>
    <x v="16"/>
    <n v="61"/>
  </r>
  <r>
    <n v="73"/>
    <n v="73"/>
    <x v="16"/>
    <s v="皇庭咖啡莊園"/>
    <s v="The 2022 Pacific Rim Coffee Summit,T031"/>
    <s v="皇庭咖啡莊園"/>
    <s v="Taiwan Coffee Laboratory"/>
    <s v="850"/>
    <n v="259"/>
    <s v="Convertido"/>
    <x v="80"/>
    <s v="陳榮豐"/>
    <n v="1"/>
    <s v="100 kg"/>
    <s v="Taiwan Coffee Laboratory 台灣咖啡研究室"/>
    <s v="2021 / 2022"/>
    <s v="November 15th, 2022"/>
    <s v="Taiwan Coffee Laboratory 台灣咖啡研究室"/>
    <s v="Gesha"/>
    <s v="Completed"/>
    <s v="Washed / Wet"/>
    <x v="0"/>
    <x v="9"/>
    <n v="7.5"/>
    <n v="7.75"/>
    <n v="7.75"/>
    <x v="11"/>
    <n v="10"/>
    <n v="10"/>
    <n v="10"/>
    <n v="7.83"/>
    <n v="84.42"/>
    <n v="10.1"/>
    <n v="0"/>
    <n v="0"/>
    <s v="bluish-green"/>
    <n v="1"/>
    <s v="November 15th, 2023"/>
    <s v="Taiwan Coffee Laboratory 台灣咖啡研究室"/>
    <s v="QAHWAH CO., LTD 4F, No. 225, Sec. 3, Beixin Rd., Xindian Dist. New Taipei City, Taiwan"/>
    <s v="Lin, Jen-An Neil 林仁安 - 886-289116612"/>
    <x v="16"/>
    <n v="61"/>
  </r>
  <r>
    <n v="84"/>
    <n v="84"/>
    <x v="16"/>
    <s v="竹崙子莊園"/>
    <s v="A32-Northern Taiwan Specialty Coffee Evaluation"/>
    <s v="竹崙子莊園"/>
    <s v="Taiwu Coffee Cooperative"/>
    <s v="150"/>
    <n v="46"/>
    <s v="Convertido"/>
    <x v="94"/>
    <s v="邱建明"/>
    <n v="1"/>
    <s v="110 kg"/>
    <s v="Taiwan Coffee Laboratory 台灣咖啡研究室"/>
    <s v="2021 / 2022"/>
    <s v="January 6th, 2023"/>
    <s v="Taiwu"/>
    <s v="unknown"/>
    <s v="Completed"/>
    <s v="Pulped natural / honey"/>
    <x v="0"/>
    <x v="1"/>
    <n v="7.83"/>
    <n v="7.58"/>
    <n v="7.58"/>
    <x v="10"/>
    <n v="10"/>
    <n v="10"/>
    <n v="10"/>
    <n v="7.67"/>
    <n v="84.08"/>
    <n v="10.8"/>
    <n v="0"/>
    <n v="0"/>
    <s v="greenish"/>
    <n v="2"/>
    <s v="January 6th, 2024"/>
    <s v="Taiwan Coffee Laboratory 台灣咖啡研究室"/>
    <s v="QAHWAH CO., LTD 4F, No. 225, Sec. 3, Beixin Rd., Xindian Dist. New Taipei City, Taiwan"/>
    <s v="Lin, Jen-An Neil 林仁安 - 886-289116612"/>
    <x v="16"/>
    <n v="61"/>
  </r>
  <r>
    <n v="85"/>
    <n v="85"/>
    <x v="16"/>
    <s v="元富咖啡莊園"/>
    <s v="The 2022 Pacific Rim Coffee Summit,T017"/>
    <s v="元富咖啡莊園"/>
    <s v="Taiwan Coffee Laboratory"/>
    <s v="800"/>
    <n v="244"/>
    <s v="Convertido"/>
    <x v="80"/>
    <s v="李泓錡"/>
    <n v="1"/>
    <s v="80 kg"/>
    <s v="Taiwan Coffee Laboratory 台灣咖啡研究室"/>
    <s v="2021 / 2022"/>
    <s v="November 15th, 2022"/>
    <s v="Taiwan Coffee Laboratory 台灣咖啡研究室"/>
    <s v="Gesha"/>
    <s v="Completed"/>
    <s v="Natural / Dry"/>
    <x v="11"/>
    <x v="10"/>
    <n v="7.67"/>
    <n v="7.75"/>
    <n v="7.75"/>
    <x v="9"/>
    <n v="9.33"/>
    <n v="10"/>
    <n v="10"/>
    <n v="7.92"/>
    <n v="84.08"/>
    <n v="10.6"/>
    <n v="0"/>
    <n v="0"/>
    <s v="yello-green"/>
    <n v="0"/>
    <s v="November 15th, 2023"/>
    <s v="Taiwan Coffee Laboratory 台灣咖啡研究室"/>
    <s v="QAHWAH CO., LTD 4F, No. 225, Sec. 3, Beixin Rd., Xindian Dist. New Taipei City, Taiwan"/>
    <s v="Lin, Jen-An Neil 林仁安 - 886-289116612"/>
    <x v="16"/>
    <n v="61"/>
  </r>
  <r>
    <n v="106"/>
    <n v="106"/>
    <x v="16"/>
    <s v="永舜咖啡莊園"/>
    <s v="202203"/>
    <s v="yes"/>
    <s v="Yongshun"/>
    <s v="1250"/>
    <n v="381"/>
    <s v="Convertido"/>
    <x v="86"/>
    <s v="蘇甘永"/>
    <n v="50"/>
    <s v="2 kg"/>
    <s v="Blossom Valley International宸嶧國際"/>
    <s v="2022"/>
    <s v="October 24th, 2022"/>
    <s v="Yongshun"/>
    <s v="SL34"/>
    <s v="Completed"/>
    <s v="Washed / Wet"/>
    <x v="10"/>
    <x v="12"/>
    <n v="7.75"/>
    <n v="7.75"/>
    <n v="7.5"/>
    <x v="10"/>
    <n v="10"/>
    <n v="10"/>
    <n v="10"/>
    <n v="7.67"/>
    <n v="83.67"/>
    <n v="10"/>
    <n v="0"/>
    <n v="0"/>
    <s v="bluish-green"/>
    <n v="0"/>
    <s v="October 24th, 2023"/>
    <s v="Blossom Valley International宸嶧國際"/>
    <s v="No.72 Mo-Fan St. Taiwan Zip: 403"/>
    <s v="Damon Chen陳嘉峻 - +886423022323"/>
    <x v="16"/>
    <n v="61"/>
  </r>
  <r>
    <n v="108"/>
    <n v="108"/>
    <x v="16"/>
    <s v="恆珊農場"/>
    <s v="A05-Northern Taiwan Specialty Coffee Evaluation"/>
    <s v="恆珊農場"/>
    <s v="Taiwu Coffee Cooperative"/>
    <s v="200-400"/>
    <e v="#VALUE!"/>
    <s v="Convertido"/>
    <x v="90"/>
    <s v="羅以珊"/>
    <n v="1"/>
    <s v="13 kg"/>
    <s v="Taiwan Coffee Laboratory 台灣咖啡研究室"/>
    <s v="2021 / 2022"/>
    <s v="January 6th, 2023"/>
    <s v="Taiwu"/>
    <s v="unknown"/>
    <s v="Completed"/>
    <s v="Pulped natural / honey"/>
    <x v="1"/>
    <x v="10"/>
    <n v="7.67"/>
    <n v="7.83"/>
    <n v="7.5"/>
    <x v="10"/>
    <n v="10"/>
    <n v="10"/>
    <n v="10"/>
    <n v="7.67"/>
    <n v="83.67"/>
    <n v="9.1999999999999993"/>
    <n v="0"/>
    <n v="0"/>
    <s v="greenish"/>
    <n v="0"/>
    <s v="January 6th, 2024"/>
    <s v="Taiwan Coffee Laboratory 台灣咖啡研究室"/>
    <s v="QAHWAH CO., LTD 4F, No. 225, Sec. 3, Beixin Rd., Xindian Dist. New Taipei City, Taiwan"/>
    <s v="Lin, Jen-An Neil 林仁安 - 886-289116612"/>
    <x v="16"/>
    <n v="61"/>
  </r>
  <r>
    <n v="110"/>
    <n v="110"/>
    <x v="16"/>
    <s v="正源咖啡"/>
    <s v="A30-Northern Taiwan Specialty Coffee Evaluation"/>
    <s v="正源咖啡"/>
    <s v="Taiwu Coffee Cooperative"/>
    <s v="250-400"/>
    <e v="#VALUE!"/>
    <s v="Convertido"/>
    <x v="90"/>
    <s v="彭文正"/>
    <n v="1"/>
    <s v="10 kg"/>
    <s v="Taiwan Coffee Laboratory 台灣咖啡研究室"/>
    <s v="2021 / 2022"/>
    <s v="January 6th, 2023"/>
    <s v="Taiwu"/>
    <s v="unknown"/>
    <s v="Completed"/>
    <s v="Natural / Dry"/>
    <x v="1"/>
    <x v="12"/>
    <n v="7.5"/>
    <n v="7.75"/>
    <n v="7.75"/>
    <x v="10"/>
    <n v="10"/>
    <n v="10"/>
    <n v="10"/>
    <n v="7.67"/>
    <n v="83.58"/>
    <n v="8.4"/>
    <n v="0"/>
    <n v="0"/>
    <s v="green"/>
    <n v="0"/>
    <s v="January 6th, 2024"/>
    <s v="Taiwan Coffee Laboratory 台灣咖啡研究室"/>
    <s v="QAHWAH CO., LTD 4F, No. 225, Sec. 3, Beixin Rd., Xindian Dist. New Taipei City, Taiwan"/>
    <s v="Lin, Jen-An Neil 林仁安 - 886-289116612"/>
    <x v="16"/>
    <n v="61"/>
  </r>
  <r>
    <n v="111"/>
    <n v="111"/>
    <x v="16"/>
    <s v="宋明光_x0009_蝙蝠洞莊園_x0009_蝙蝠洞莊園"/>
    <s v="A14-Northern Taiwan Specialty Coffee Evaluation"/>
    <s v="宋明光_x0009_蝙蝠洞莊園_x0009_蝙蝠洞莊園"/>
    <s v="Taiwu Coffee Cooperative"/>
    <s v="250-300"/>
    <e v="#VALUE!"/>
    <s v="Convertido"/>
    <x v="90"/>
    <s v="宋明光"/>
    <n v="1"/>
    <s v="10 kg"/>
    <s v="Taiwan Coffee Laboratory 台灣咖啡研究室"/>
    <s v="2021 / 2022"/>
    <s v="January 6th, 2023"/>
    <s v="Taiwu"/>
    <s v="Typica"/>
    <s v="Completed"/>
    <s v="Pulped natural / honey"/>
    <x v="1"/>
    <x v="10"/>
    <n v="7.58"/>
    <n v="7.75"/>
    <n v="7.58"/>
    <x v="10"/>
    <n v="10"/>
    <n v="10"/>
    <n v="10"/>
    <n v="7.67"/>
    <n v="83.58"/>
    <n v="9.1"/>
    <n v="0"/>
    <n v="0"/>
    <s v="green"/>
    <n v="0"/>
    <s v="January 6th, 2024"/>
    <s v="Taiwan Coffee Laboratory 台灣咖啡研究室"/>
    <s v="QAHWAH CO., LTD 4F, No. 225, Sec. 3, Beixin Rd., Xindian Dist. New Taipei City, Taiwan"/>
    <s v="Lin, Jen-An Neil 林仁安 - 886-289116612"/>
    <x v="16"/>
    <n v="61"/>
  </r>
  <r>
    <n v="119"/>
    <n v="119"/>
    <x v="16"/>
    <s v="香香久溢咖啡莊園"/>
    <s v="The 2022 Pacific Rim Coffee Summit,T022"/>
    <s v="香香久溢咖啡莊園"/>
    <s v="Taiwan Coffee Laboratory"/>
    <s v="1100"/>
    <n v="335"/>
    <s v="Convertido"/>
    <x v="79"/>
    <s v="吳昭昀"/>
    <n v="1"/>
    <s v="40 kg"/>
    <s v="Taiwan Coffee Laboratory 台灣咖啡研究室"/>
    <s v="2021 / 2022"/>
    <s v="November 15th, 2022"/>
    <s v="Wu Jhao Yun"/>
    <s v="Typica + SL34"/>
    <s v="Completed"/>
    <s v="Washed / Wet"/>
    <x v="9"/>
    <x v="1"/>
    <n v="7.67"/>
    <n v="7.92"/>
    <n v="7.75"/>
    <x v="0"/>
    <n v="8.67"/>
    <n v="10"/>
    <n v="10"/>
    <n v="7.92"/>
    <n v="83.42"/>
    <n v="10.1"/>
    <n v="0"/>
    <n v="0"/>
    <s v="blue-green"/>
    <n v="0"/>
    <s v="November 15th, 2023"/>
    <s v="Taiwan Coffee Laboratory 台灣咖啡研究室"/>
    <s v="QAHWAH CO., LTD 4F, No. 225, Sec. 3, Beixin Rd., Xindian Dist. New Taipei City, Taiwan"/>
    <s v="Lin, Jen-An Neil 林仁安 - 886-289116612"/>
    <x v="16"/>
    <n v="61"/>
  </r>
  <r>
    <n v="121"/>
    <n v="121"/>
    <x v="16"/>
    <s v="四分子道"/>
    <s v="A04-Northern Taiwan Specialty Coffee Evaluation"/>
    <s v="四分子道"/>
    <s v="Taiwu Coffee Cooperative"/>
    <s v="200-300"/>
    <e v="#VALUE!"/>
    <s v="Convertido"/>
    <x v="90"/>
    <s v="林士傑"/>
    <n v="1"/>
    <s v="8 kg"/>
    <s v="Taiwan Coffee Laboratory 台灣咖啡研究室"/>
    <s v="2021 / 2022"/>
    <s v="January 6th, 2023"/>
    <s v="Taiwu"/>
    <s v="Typica"/>
    <s v="Completed"/>
    <s v="Pulped natural / honey"/>
    <x v="1"/>
    <x v="12"/>
    <n v="7.5"/>
    <n v="7.75"/>
    <n v="7.5"/>
    <x v="12"/>
    <n v="10"/>
    <n v="10"/>
    <n v="10"/>
    <n v="7.75"/>
    <n v="83.33"/>
    <n v="9.6999999999999993"/>
    <n v="0"/>
    <n v="0"/>
    <s v="greenish"/>
    <n v="0"/>
    <s v="January 6th, 2024"/>
    <s v="Taiwan Coffee Laboratory 台灣咖啡研究室"/>
    <s v="QAHWAH CO., LTD 4F, No. 225, Sec. 3, Beixin Rd., Xindian Dist. New Taipei City, Taiwan"/>
    <s v="Lin, Jen-An Neil 林仁安 - 886-289116612"/>
    <x v="16"/>
    <n v="61"/>
  </r>
  <r>
    <n v="123"/>
    <n v="123"/>
    <x v="16"/>
    <s v="木華莊園"/>
    <s v="A21-Northern Taiwan Specialty Coffee Evaluation"/>
    <s v="木華莊園"/>
    <s v="Taiwu Coffee Cooperative"/>
    <s v="300"/>
    <n v="91"/>
    <s v="Convertido"/>
    <x v="95"/>
    <s v="簡進財"/>
    <n v="1"/>
    <s v="80 kg"/>
    <s v="Taiwan Coffee Laboratory 台灣咖啡研究室"/>
    <s v="2021 / 2022"/>
    <s v="January 6th, 2023"/>
    <s v="Taiwu"/>
    <s v="Typica"/>
    <s v="Completed"/>
    <s v="Washed / Wet"/>
    <x v="1"/>
    <x v="12"/>
    <n v="7.58"/>
    <n v="7.75"/>
    <n v="7.42"/>
    <x v="12"/>
    <n v="10"/>
    <n v="10"/>
    <n v="10"/>
    <n v="7.75"/>
    <n v="83.33"/>
    <n v="9.6"/>
    <n v="0"/>
    <n v="0"/>
    <s v="green"/>
    <n v="1"/>
    <s v="January 6th, 2024"/>
    <s v="Taiwan Coffee Laboratory 台灣咖啡研究室"/>
    <s v="QAHWAH CO., LTD 4F, No. 225, Sec. 3, Beixin Rd., Xindian Dist. New Taipei City, Taiwan"/>
    <s v="Lin, Jen-An Neil 林仁安 - 886-289116612"/>
    <x v="16"/>
    <n v="61"/>
  </r>
  <r>
    <n v="126"/>
    <n v="126"/>
    <x v="16"/>
    <s v="東泓咖啡莊園"/>
    <s v="The 2022 Pacific Rim Coffee Summit,T019"/>
    <s v="東泓咖啡莊園"/>
    <s v="Taiwan Coffee Laboratory"/>
    <s v="750"/>
    <n v="229"/>
    <s v="Convertido"/>
    <x v="80"/>
    <s v="陳善東"/>
    <n v="1"/>
    <s v="100 kg"/>
    <s v="Taiwan Coffee Laboratory 台灣咖啡研究室"/>
    <s v="2021 / 2022"/>
    <s v="November 15th, 2022"/>
    <s v="CHEN SHAN DONG 陳善東"/>
    <s v="SL34"/>
    <s v="Completed"/>
    <s v="Washed / Wet"/>
    <x v="9"/>
    <x v="11"/>
    <n v="7.58"/>
    <n v="7.58"/>
    <n v="7.58"/>
    <x v="1"/>
    <n v="10"/>
    <n v="10"/>
    <n v="10"/>
    <n v="7.5"/>
    <n v="83.33"/>
    <n v="10.7"/>
    <n v="0"/>
    <n v="0"/>
    <s v="blue-green"/>
    <n v="1"/>
    <s v="November 15th, 2023"/>
    <s v="Taiwan Coffee Laboratory 台灣咖啡研究室"/>
    <s v="QAHWAH CO., LTD 4F, No. 225, Sec. 3, Beixin Rd., Xindian Dist. New Taipei City, Taiwan"/>
    <s v="Lin, Jen-An Neil 林仁安 - 886-289116612"/>
    <x v="16"/>
    <n v="61"/>
  </r>
  <r>
    <n v="130"/>
    <n v="130"/>
    <x v="16"/>
    <s v="棒棒有機農場"/>
    <s v="A41-Northern Taiwan Specialty Coffee Evaluation"/>
    <s v="棒棒有機農場"/>
    <s v="Taiwu Coffee Cooperative"/>
    <s v="1100-1200"/>
    <e v="#VALUE!"/>
    <s v="Convertido"/>
    <x v="89"/>
    <s v="林木青"/>
    <n v="1"/>
    <s v="320 kg"/>
    <s v="Taiwan Coffee Laboratory 台灣咖啡研究室"/>
    <s v="2021 / 2022"/>
    <s v="January 6th, 2023"/>
    <s v="Taiwu"/>
    <s v="unknown"/>
    <s v="Completed"/>
    <s v="Washed / Wet"/>
    <x v="9"/>
    <x v="10"/>
    <n v="7.58"/>
    <n v="7.67"/>
    <n v="7.42"/>
    <x v="1"/>
    <n v="10"/>
    <n v="10"/>
    <n v="10"/>
    <n v="7.58"/>
    <n v="83.25"/>
    <n v="9.6"/>
    <n v="0"/>
    <n v="0"/>
    <s v="green"/>
    <n v="1"/>
    <s v="January 6th, 2024"/>
    <s v="Taiwan Coffee Laboratory 台灣咖啡研究室"/>
    <s v="QAHWAH CO., LTD 4F, No. 225, Sec. 3, Beixin Rd., Xindian Dist. New Taipei City, Taiwan"/>
    <s v="Lin, Jen-An Neil 林仁安 - 886-289116612"/>
    <x v="16"/>
    <n v="61"/>
  </r>
  <r>
    <n v="134"/>
    <n v="134"/>
    <x v="16"/>
    <s v="蜜多莊園"/>
    <s v="A35-Northern Taiwan Specialty Coffee Evaluation"/>
    <s v="蜜多莊園"/>
    <s v="Taiwu Coffee Cooperative"/>
    <s v="200-300"/>
    <e v="#VALUE!"/>
    <s v="Convertido"/>
    <x v="90"/>
    <s v="張新榮"/>
    <n v="1"/>
    <s v="16 kg"/>
    <s v="Taiwan Coffee Laboratory 台灣咖啡研究室"/>
    <s v="2021 / 2022"/>
    <s v="January 6th, 2023"/>
    <s v="Taiwu"/>
    <s v="Typica"/>
    <s v="Completed"/>
    <s v="Natural / Dry"/>
    <x v="9"/>
    <x v="10"/>
    <n v="7.5"/>
    <n v="7.75"/>
    <n v="7.5"/>
    <x v="2"/>
    <n v="10"/>
    <n v="10"/>
    <n v="10"/>
    <n v="7.5"/>
    <n v="83.17"/>
    <n v="9.6999999999999993"/>
    <n v="0"/>
    <n v="0"/>
    <s v="greenish"/>
    <n v="2"/>
    <s v="January 6th, 2024"/>
    <s v="Taiwan Coffee Laboratory 台灣咖啡研究室"/>
    <s v="QAHWAH CO., LTD 4F, No. 225, Sec. 3, Beixin Rd., Xindian Dist. New Taipei City, Taiwan"/>
    <s v="Lin, Jen-An Neil 林仁安 - 886-289116612"/>
    <x v="16"/>
    <n v="61"/>
  </r>
  <r>
    <n v="135"/>
    <n v="135"/>
    <x v="16"/>
    <s v="迎曦山丘"/>
    <s v="A20-Northern Taiwan Specialty Coffee Evaluation"/>
    <s v="迎曦山丘"/>
    <s v="Taiwu Coffee Cooperative"/>
    <s v="340"/>
    <n v="104"/>
    <s v="Convertido"/>
    <x v="89"/>
    <s v="翁召安"/>
    <n v="1"/>
    <s v="100 kg"/>
    <s v="Taiwan Coffee Laboratory 台灣咖啡研究室"/>
    <s v="2021 / 2022"/>
    <s v="January 6th, 2023"/>
    <s v="Taiwu"/>
    <s v="unknown"/>
    <s v="Completed"/>
    <s v="Washed / Wet"/>
    <x v="10"/>
    <x v="12"/>
    <n v="7.5"/>
    <n v="7.58"/>
    <n v="7.58"/>
    <x v="1"/>
    <n v="10"/>
    <n v="10"/>
    <n v="10"/>
    <n v="7.67"/>
    <n v="83.17"/>
    <n v="11.8"/>
    <n v="0"/>
    <n v="0"/>
    <s v="blue-green"/>
    <n v="0"/>
    <s v="January 6th, 2024"/>
    <s v="Taiwan Coffee Laboratory 台灣咖啡研究室"/>
    <s v="QAHWAH CO., LTD 4F, No. 225, Sec. 3, Beixin Rd., Xindian Dist. New Taipei City, Taiwan"/>
    <s v="Lin, Jen-An Neil 林仁安 - 886-289116612"/>
    <x v="16"/>
    <n v="61"/>
  </r>
  <r>
    <n v="140"/>
    <n v="140"/>
    <x v="16"/>
    <s v="樹橋窩莊園"/>
    <s v="A17-Northern Taiwan Specialty Coffee Evaluation"/>
    <s v="樹橋窩莊園"/>
    <s v="Taiwu Coffee Cooperative"/>
    <s v="250-300"/>
    <e v="#VALUE!"/>
    <s v="Convertido"/>
    <x v="90"/>
    <s v="王維書"/>
    <n v="1"/>
    <s v="12 kg"/>
    <s v="Taiwan Coffee Laboratory 台灣咖啡研究室"/>
    <s v="2021 / 2022"/>
    <s v="January 6th, 2023"/>
    <s v="Taiwu"/>
    <s v="Typica"/>
    <s v="Completed"/>
    <s v="Pulped natural / honey"/>
    <x v="2"/>
    <x v="12"/>
    <n v="7.58"/>
    <n v="7.58"/>
    <n v="7.5"/>
    <x v="1"/>
    <n v="10"/>
    <n v="10"/>
    <n v="10"/>
    <n v="7.58"/>
    <n v="82.92"/>
    <n v="8.9"/>
    <n v="0"/>
    <n v="0"/>
    <s v="blue-green"/>
    <n v="0"/>
    <s v="January 6th, 2024"/>
    <s v="Taiwan Coffee Laboratory 台灣咖啡研究室"/>
    <s v="QAHWAH CO., LTD 4F, No. 225, Sec. 3, Beixin Rd., Xindian Dist. New Taipei City, Taiwan"/>
    <s v="Lin, Jen-An Neil 林仁安 - 886-289116612"/>
    <x v="16"/>
    <n v="61"/>
  </r>
  <r>
    <n v="143"/>
    <n v="143"/>
    <x v="16"/>
    <s v="嵩岳咖啡莊園"/>
    <s v="202203"/>
    <s v="yes"/>
    <s v="宸嶧國際有限公司"/>
    <s v="1200"/>
    <n v="366"/>
    <s v="Convertido"/>
    <x v="81"/>
    <s v="郭亮志"/>
    <n v="300"/>
    <s v="1 kg"/>
    <s v="Blossom Valley International宸嶧國際"/>
    <s v="2022"/>
    <s v="October 24th, 2022"/>
    <s v="郭亮志 GuoLiangZhi"/>
    <s v="Gesha"/>
    <s v="Completed"/>
    <s v=""/>
    <x v="10"/>
    <x v="2"/>
    <n v="7.42"/>
    <n v="7.75"/>
    <n v="7.42"/>
    <x v="12"/>
    <n v="10"/>
    <n v="10"/>
    <n v="10"/>
    <n v="7.58"/>
    <n v="82.92"/>
    <n v="10.199999999999999"/>
    <n v="0"/>
    <n v="0"/>
    <s v="yellow-green"/>
    <n v="0"/>
    <s v="October 24th, 2023"/>
    <s v="Blossom Valley International宸嶧國際"/>
    <s v="No.72 Mo-Fan St. Taiwan Zip: 403"/>
    <s v="Damon Chen陳嘉峻 - +886423022323"/>
    <x v="16"/>
    <n v="61"/>
  </r>
  <r>
    <n v="153"/>
    <n v="153"/>
    <x v="16"/>
    <s v="銅鏡莊園"/>
    <s v="A01-Northern Taiwan Specialty Coffee Evaluation"/>
    <s v="銅鏡莊園"/>
    <s v="Taiwu Coffee Cooperative"/>
    <s v="165"/>
    <n v="50"/>
    <s v="Convertido"/>
    <x v="89"/>
    <s v="吳聲發"/>
    <n v="1"/>
    <s v="4 kg"/>
    <s v="Taiwan Coffee Laboratory 台灣咖啡研究室"/>
    <s v="2021 / 2022"/>
    <s v="January 6th, 2023"/>
    <s v="Taiwu"/>
    <s v="unknow"/>
    <s v="Completed"/>
    <s v="Natural / Dry"/>
    <x v="10"/>
    <x v="12"/>
    <n v="7.42"/>
    <n v="7.42"/>
    <n v="7.42"/>
    <x v="1"/>
    <n v="10"/>
    <n v="10"/>
    <n v="10"/>
    <n v="7.5"/>
    <n v="82.58"/>
    <n v="9.8000000000000007"/>
    <n v="0"/>
    <n v="0"/>
    <s v="green"/>
    <n v="0"/>
    <s v="January 6th, 2024"/>
    <s v="Taiwan Coffee Laboratory 台灣咖啡研究室"/>
    <s v="QAHWAH CO., LTD 4F, No. 225, Sec. 3, Beixin Rd., Xindian Dist. New Taipei City, Taiwan"/>
    <s v="Lin, Jen-An Neil 林仁安 - 886-289116612"/>
    <x v="16"/>
    <n v="61"/>
  </r>
  <r>
    <n v="154"/>
    <n v="154"/>
    <x v="16"/>
    <s v="掬香園"/>
    <s v="A22-Northern Taiwan Specialty Coffee Evaluation"/>
    <s v="掬香園"/>
    <s v="Taiwu Coffee Cooperative"/>
    <s v="465"/>
    <n v="142"/>
    <s v="Convertido"/>
    <x v="89"/>
    <s v="謝櫞楨"/>
    <n v="1"/>
    <s v="32 kg"/>
    <s v="Taiwan Coffee Laboratory 台灣咖啡研究室"/>
    <s v="2021 / 2022"/>
    <s v="January 6th, 2023"/>
    <s v="Taiwu"/>
    <s v="Caturra"/>
    <s v="Completed"/>
    <s v="Washed / Wet"/>
    <x v="10"/>
    <x v="3"/>
    <n v="7.42"/>
    <n v="7.42"/>
    <n v="7.5"/>
    <x v="1"/>
    <n v="10"/>
    <n v="10"/>
    <n v="10"/>
    <n v="7.5"/>
    <n v="82.58"/>
    <n v="8.4"/>
    <n v="0"/>
    <n v="0"/>
    <s v="blue-green"/>
    <n v="2"/>
    <s v="January 6th, 2024"/>
    <s v="Taiwan Coffee Laboratory 台灣咖啡研究室"/>
    <s v="QAHWAH CO., LTD 4F, No. 225, Sec. 3, Beixin Rd., Xindian Dist. New Taipei City, Taiwan"/>
    <s v="Lin, Jen-An Neil 林仁安 - 886-289116612"/>
    <x v="16"/>
    <n v="61"/>
  </r>
  <r>
    <n v="162"/>
    <n v="162"/>
    <x v="16"/>
    <s v="弘欣咖啡園"/>
    <s v="A02-Northern Taiwan Specialty Coffee Evaluation"/>
    <s v="弘欣咖啡園"/>
    <s v="Taiwu Coffee Cooperative"/>
    <s v="139"/>
    <n v="42"/>
    <s v="Convertido"/>
    <x v="90"/>
    <s v="胡明杰"/>
    <n v="1"/>
    <s v="200 kg"/>
    <s v="Taiwan Coffee Laboratory 台灣咖啡研究室"/>
    <s v="2021 / 2022"/>
    <s v="January 6th, 2023"/>
    <s v="Taiwu"/>
    <s v="unknown"/>
    <s v="Completed"/>
    <s v="Washed / Wet"/>
    <x v="3"/>
    <x v="4"/>
    <n v="7.58"/>
    <n v="7.42"/>
    <n v="7.58"/>
    <x v="1"/>
    <n v="10"/>
    <n v="10"/>
    <n v="10"/>
    <n v="7.58"/>
    <n v="82.5"/>
    <n v="8.4"/>
    <n v="0"/>
    <n v="0"/>
    <s v="green"/>
    <n v="2"/>
    <s v="January 6th, 2024"/>
    <s v="Taiwan Coffee Laboratory 台灣咖啡研究室"/>
    <s v="QAHWAH CO., LTD 4F, No. 225, Sec. 3, Beixin Rd., Xindian Dist. New Taipei City, Taiwan"/>
    <s v="Lin, Jen-An Neil 林仁安 - 886-289116612"/>
    <x v="16"/>
    <n v="61"/>
  </r>
  <r>
    <n v="167"/>
    <n v="167"/>
    <x v="16"/>
    <s v="寶山謐靚"/>
    <s v="A48-Northern Taiwan Specialty Coffee Evaluation"/>
    <s v="寶山謐靚"/>
    <s v="Taiwu Coffee Cooperative"/>
    <s v="140"/>
    <n v="43"/>
    <s v="Convertido"/>
    <x v="90"/>
    <s v="宋煦仁"/>
    <n v="1"/>
    <s v="5 kg"/>
    <s v="Taiwan Coffee Laboratory 台灣咖啡研究室"/>
    <s v="2021 / 2022"/>
    <s v="January 6th, 2023"/>
    <s v="Taiwu"/>
    <s v="unknown"/>
    <s v="Completed"/>
    <s v="Natural / Dry"/>
    <x v="10"/>
    <x v="3"/>
    <n v="7.42"/>
    <n v="7.5"/>
    <n v="7.33"/>
    <x v="2"/>
    <n v="10"/>
    <n v="10"/>
    <n v="10"/>
    <n v="7.42"/>
    <n v="82.33"/>
    <n v="10.8"/>
    <n v="0"/>
    <n v="0"/>
    <s v="green"/>
    <n v="1"/>
    <s v="January 6th, 2024"/>
    <s v="Taiwan Coffee Laboratory 台灣咖啡研究室"/>
    <s v="QAHWAH CO., LTD 4F, No. 225, Sec. 3, Beixin Rd., Xindian Dist. New Taipei City, Taiwan"/>
    <s v="Lin, Jen-An Neil 林仁安 - 886-289116612"/>
    <x v="16"/>
    <n v="61"/>
  </r>
  <r>
    <n v="172"/>
    <n v="172"/>
    <x v="16"/>
    <s v="金暖農場"/>
    <s v="A43-Northern Taiwan Specialty Coffee Evaluation"/>
    <s v="金暖農場"/>
    <s v="Taiwu Coffee Cooperative"/>
    <s v="600"/>
    <n v="183"/>
    <s v="Convertido"/>
    <x v="95"/>
    <s v="何育達"/>
    <n v="1"/>
    <s v="3 kg"/>
    <s v="Taiwan Coffee Laboratory 台灣咖啡研究室"/>
    <s v="2021 / 2022"/>
    <s v="January 6th, 2023"/>
    <s v="Taiwu"/>
    <s v="unknown"/>
    <s v="Completed"/>
    <s v="Washed / Wet"/>
    <x v="2"/>
    <x v="12"/>
    <n v="7.33"/>
    <n v="7.5"/>
    <n v="7.25"/>
    <x v="3"/>
    <n v="10"/>
    <n v="10"/>
    <n v="10"/>
    <n v="7.5"/>
    <n v="82.08"/>
    <n v="9.6999999999999993"/>
    <n v="0"/>
    <n v="0"/>
    <s v="bluish-green"/>
    <n v="0"/>
    <s v="January 6th, 2024"/>
    <s v="Taiwan Coffee Laboratory 台灣咖啡研究室"/>
    <s v="QAHWAH CO., LTD 4F, No. 225, Sec. 3, Beixin Rd., Xindian Dist. New Taipei City, Taiwan"/>
    <s v="Lin, Jen-An Neil 林仁安 - 886-289116612"/>
    <x v="16"/>
    <n v="61"/>
  </r>
  <r>
    <n v="173"/>
    <n v="173"/>
    <x v="16"/>
    <s v="好客農埸"/>
    <s v="A34-Northern Taiwan Specialty Coffee Evaluation"/>
    <s v="好客農埸"/>
    <s v="Taiwu Coffee Cooperative"/>
    <s v="460"/>
    <n v="140"/>
    <s v="Convertido"/>
    <x v="89"/>
    <s v="彭聰明"/>
    <n v="1"/>
    <s v="60 kg"/>
    <s v="Taiwan Coffee Laboratory 台灣咖啡研究室"/>
    <s v="2021 / 2022"/>
    <s v="January 6th, 2023"/>
    <s v="Taiwu"/>
    <s v="unknown"/>
    <s v="Completed"/>
    <s v="Pulped natural / honey"/>
    <x v="13"/>
    <x v="4"/>
    <n v="7.42"/>
    <n v="7.5"/>
    <n v="7.42"/>
    <x v="1"/>
    <n v="10"/>
    <n v="10"/>
    <n v="10"/>
    <n v="7.5"/>
    <n v="82.08"/>
    <n v="8.1"/>
    <n v="0"/>
    <n v="0"/>
    <s v="greenish"/>
    <n v="3"/>
    <s v="January 6th, 2024"/>
    <s v="Taiwan Coffee Laboratory 台灣咖啡研究室"/>
    <s v="QAHWAH CO., LTD 4F, No. 225, Sec. 3, Beixin Rd., Xindian Dist. New Taipei City, Taiwan"/>
    <s v="Lin, Jen-An Neil 林仁安 - 886-289116612"/>
    <x v="16"/>
    <n v="61"/>
  </r>
  <r>
    <n v="174"/>
    <n v="174"/>
    <x v="16"/>
    <s v="拉拉山祖嵐咖啡莊園"/>
    <s v="A50-Northern Taiwan Specialty Coffee Evaluation"/>
    <s v="拉拉山祖嵐咖啡莊園"/>
    <s v="Taiwu Coffee Cooperative"/>
    <s v="500"/>
    <n v="152"/>
    <s v="Convertido"/>
    <x v="95"/>
    <s v="宗素霞"/>
    <n v="1"/>
    <s v="20 kg"/>
    <s v="Taiwan Coffee Laboratory 台灣咖啡研究室"/>
    <s v="2021 / 2022"/>
    <s v="January 6th, 2023"/>
    <s v="Taiwu"/>
    <s v="unknown"/>
    <s v="Completed"/>
    <s v="Washed / Wet"/>
    <x v="2"/>
    <x v="3"/>
    <n v="7.42"/>
    <n v="7.42"/>
    <n v="7.25"/>
    <x v="2"/>
    <n v="10"/>
    <n v="10"/>
    <n v="10"/>
    <n v="7.42"/>
    <n v="82"/>
    <n v="8.1999999999999993"/>
    <n v="0"/>
    <n v="0"/>
    <s v="green"/>
    <n v="1"/>
    <s v="January 6th, 2024"/>
    <s v="Taiwan Coffee Laboratory 台灣咖啡研究室"/>
    <s v="QAHWAH CO., LTD 4F, No. 225, Sec. 3, Beixin Rd., Xindian Dist. New Taipei City, Taiwan"/>
    <s v="Lin, Jen-An Neil 林仁安 - 886-289116612"/>
    <x v="16"/>
    <n v="61"/>
  </r>
  <r>
    <n v="181"/>
    <n v="181"/>
    <x v="16"/>
    <s v="阿拉思家"/>
    <s v="A10-Northern Taiwan Specialty Coffee Evaluation"/>
    <s v="阿拉思家"/>
    <s v="Taiwu Coffee Cooperative"/>
    <s v="300"/>
    <n v="91"/>
    <s v="Convertido"/>
    <x v="95"/>
    <s v="李秀圓"/>
    <n v="1"/>
    <s v="6 kg"/>
    <s v="Taiwan Coffee Laboratory 台灣咖啡研究室"/>
    <s v="2021 / 2022"/>
    <s v="January 6th, 2023"/>
    <s v="Taiwu"/>
    <s v="Typica"/>
    <s v="Completed"/>
    <s v="Pulped natural / honey"/>
    <x v="4"/>
    <x v="4"/>
    <n v="7.42"/>
    <n v="7.5"/>
    <n v="7.42"/>
    <x v="2"/>
    <n v="10"/>
    <n v="10"/>
    <n v="10"/>
    <n v="7.42"/>
    <n v="81.83"/>
    <n v="11.3"/>
    <n v="0"/>
    <n v="0"/>
    <s v="green"/>
    <n v="0"/>
    <s v="January 6th, 2024"/>
    <s v="Taiwan Coffee Laboratory 台灣咖啡研究室"/>
    <s v="QAHWAH CO., LTD 4F, No. 225, Sec. 3, Beixin Rd., Xindian Dist. New Taipei City, Taiwan"/>
    <s v="Lin, Jen-An Neil 林仁安 - 886-289116612"/>
    <x v="16"/>
    <n v="61"/>
  </r>
  <r>
    <n v="188"/>
    <n v="188"/>
    <x v="16"/>
    <s v="橫鹿"/>
    <s v="A46-Northern Taiwan Specialty Coffee Evaluation"/>
    <s v="橫鹿"/>
    <s v="Taiwu Coffee Cooperative"/>
    <s v="300"/>
    <n v="91"/>
    <s v="Convertido"/>
    <x v="94"/>
    <s v="呂星輝"/>
    <n v="1"/>
    <s v="100 kg"/>
    <s v="Taiwan Coffee Laboratory 台灣咖啡研究室"/>
    <s v="2021 / 2022"/>
    <s v="January 6th, 2023"/>
    <s v="Taiwu"/>
    <s v="Typica"/>
    <s v="Completed"/>
    <s v="Pulped natural / honey"/>
    <x v="3"/>
    <x v="2"/>
    <n v="7.33"/>
    <n v="7.33"/>
    <n v="7.33"/>
    <x v="3"/>
    <n v="10"/>
    <n v="10"/>
    <n v="10"/>
    <n v="7.33"/>
    <n v="81.58"/>
    <n v="9"/>
    <n v="0"/>
    <n v="0"/>
    <s v="yellow-green"/>
    <n v="0"/>
    <s v="January 6th, 2024"/>
    <s v="Taiwan Coffee Laboratory 台灣咖啡研究室"/>
    <s v="QAHWAH CO., LTD 4F, No. 225, Sec. 3, Beixin Rd., Xindian Dist. New Taipei City, Taiwan"/>
    <s v="Lin, Jen-An Neil 林仁安 - 886-289116612"/>
    <x v="16"/>
    <n v="61"/>
  </r>
  <r>
    <n v="189"/>
    <n v="189"/>
    <x v="16"/>
    <s v="大屯29莊園"/>
    <s v="A38-Northern Taiwan Specialty Coffee Evaluation"/>
    <s v="大屯29莊園"/>
    <s v="Taiwu Coffee Cooperative"/>
    <s v="435"/>
    <n v="133"/>
    <s v="Convertido"/>
    <x v="96"/>
    <s v="侯奕瑋"/>
    <n v="1"/>
    <s v="8 kg"/>
    <s v="Taiwan Coffee Laboratory 台灣咖啡研究室"/>
    <s v="2021 / 2022"/>
    <s v="January 6th, 2023"/>
    <s v="Taiwu"/>
    <s v="unknown"/>
    <s v="Completed"/>
    <s v="Pulped natural / honey"/>
    <x v="13"/>
    <x v="2"/>
    <n v="7.42"/>
    <n v="7.33"/>
    <n v="7.33"/>
    <x v="4"/>
    <n v="10"/>
    <n v="10"/>
    <n v="10"/>
    <n v="7.33"/>
    <n v="81.5"/>
    <n v="8.5"/>
    <n v="0"/>
    <n v="0"/>
    <s v="green"/>
    <n v="0"/>
    <s v="January 6th, 2024"/>
    <s v="Taiwan Coffee Laboratory 台灣咖啡研究室"/>
    <s v="QAHWAH CO., LTD 4F, No. 225, Sec. 3, Beixin Rd., Xindian Dist. New Taipei City, Taiwan"/>
    <s v="Lin, Jen-An Neil 林仁安 - 886-289116612"/>
    <x v="16"/>
    <n v="61"/>
  </r>
  <r>
    <n v="9"/>
    <n v="9"/>
    <x v="17"/>
    <s v="MASHIMA AMCOS"/>
    <s v="CN 4127230034/4189230113"/>
    <s v="GOURMET COFFEE MILL"/>
    <s v="DORMAN (T) LIMITED"/>
    <s v="1400-1700"/>
    <e v="#VALUE!"/>
    <s v="Convertido"/>
    <x v="97"/>
    <s v="DORMAN (T) LIMITED"/>
    <n v="320"/>
    <s v="60 kg"/>
    <s v="Kenya Coffee Traders Association"/>
    <s v="2022 / 2023"/>
    <s v="February 1st, 2023"/>
    <s v="Gilbert Maina"/>
    <s v="Bourbon"/>
    <s v="Completed"/>
    <s v="Washed / Wet"/>
    <x v="8"/>
    <x v="14"/>
    <n v="8.08"/>
    <n v="8.17"/>
    <n v="8"/>
    <x v="9"/>
    <n v="10"/>
    <n v="10"/>
    <n v="10"/>
    <n v="8"/>
    <n v="86.5"/>
    <n v="11"/>
    <n v="0"/>
    <n v="0"/>
    <s v="greenish"/>
    <n v="0"/>
    <s v="February 1st, 2024"/>
    <s v="Kenya Coffee Traders Association"/>
    <s v="P.O. Box 646 00100Nairobi, Kenya, Denniss Pritt Road, Opposite St Georges Girls Secondary School"/>
    <s v="Benson Kibicho Kamau - +254 786 821 621"/>
    <x v="17"/>
    <n v="6"/>
  </r>
  <r>
    <n v="19"/>
    <n v="19"/>
    <x v="17"/>
    <s v="BURKA"/>
    <s v="CN 4127230032/P-9140"/>
    <s v="GOURMET COFFEE MILL"/>
    <s v="DORMAN (T) LIMITED"/>
    <s v="1570-1600"/>
    <e v="#VALUE!"/>
    <s v="Convertido"/>
    <x v="98"/>
    <s v="DORMAN (T) LIMITED"/>
    <n v="200"/>
    <s v="30 kg"/>
    <s v="Kenya Coffee Traders Association"/>
    <s v="2022 / 2023"/>
    <s v="February 1st, 2023"/>
    <s v="Gilbert Maina"/>
    <s v="Bourbon"/>
    <s v="Completed"/>
    <s v="Washed / Wet"/>
    <x v="16"/>
    <x v="9"/>
    <n v="7.92"/>
    <n v="7.92"/>
    <n v="8.17"/>
    <x v="11"/>
    <n v="10"/>
    <n v="10"/>
    <n v="10"/>
    <n v="7.92"/>
    <n v="85.83"/>
    <n v="10"/>
    <n v="0"/>
    <n v="0"/>
    <s v="greenish"/>
    <n v="0"/>
    <s v="February 1st, 2024"/>
    <s v="Kenya Coffee Traders Association"/>
    <s v="P.O. Box 646 00100Nairobi, Kenya, Denniss Pritt Road, Opposite St Georges Girls Secondary School"/>
    <s v="Benson Kibicho Kamau - +254 786 821 621"/>
    <x v="17"/>
    <n v="6"/>
  </r>
  <r>
    <n v="53"/>
    <n v="53"/>
    <x v="17"/>
    <s v="IYENGA"/>
    <s v="S59588/P03989"/>
    <s v="CITY COFFEE LTD"/>
    <s v="VOLCAFE/TaylorWinch Tanzania Ltd"/>
    <s v="1654"/>
    <n v="504"/>
    <s v="Convertido"/>
    <x v="99"/>
    <s v="IYENGA AMCOS"/>
    <n v="620"/>
    <s v="30 kg"/>
    <s v="Kenya Coffee Traders Association"/>
    <s v="2022 / 2023"/>
    <s v="November 9th, 2022"/>
    <s v="Balam Hinyula"/>
    <s v="Bourbon"/>
    <s v="Completed"/>
    <s v="Washed / Wet"/>
    <x v="11"/>
    <x v="10"/>
    <n v="7.75"/>
    <n v="7.92"/>
    <n v="7.83"/>
    <x v="0"/>
    <n v="10"/>
    <n v="10"/>
    <n v="10"/>
    <n v="7.83"/>
    <n v="84.83"/>
    <n v="11.2"/>
    <n v="0"/>
    <n v="0"/>
    <s v="greenish"/>
    <n v="0"/>
    <s v="November 9th, 2023"/>
    <s v="Kenya Coffee Traders Association"/>
    <s v="P.O. Box 646 00100Nairobi, Kenya, Denniss Pritt Road, Opposite St Georges Girls Secondary School"/>
    <s v="Benson Kibicho Kamau - +254 786 821 621"/>
    <x v="17"/>
    <n v="6"/>
  </r>
  <r>
    <n v="89"/>
    <n v="89"/>
    <x v="17"/>
    <s v="KONGONI ESTATE"/>
    <s v="CN 4127230031/P-9139"/>
    <s v="RAFIKI MILL"/>
    <s v="C.DORMAN SEZ LTD"/>
    <s v="1600-1750"/>
    <e v="#VALUE!"/>
    <s v="Convertido"/>
    <x v="98"/>
    <s v="DORMAN (T) LTD"/>
    <n v="200"/>
    <s v="60 kg"/>
    <s v="Kenya Coffee Traders Association"/>
    <s v="2022 / 2023"/>
    <s v="January 3rd, 2023"/>
    <s v="Gilbert Maina"/>
    <s v="Bourbon"/>
    <s v="Completed"/>
    <s v="Washed / Wet"/>
    <x v="1"/>
    <x v="12"/>
    <n v="7.75"/>
    <n v="7.75"/>
    <n v="7.75"/>
    <x v="11"/>
    <n v="10"/>
    <n v="10"/>
    <n v="10"/>
    <n v="7.75"/>
    <n v="84"/>
    <n v="9.8000000000000007"/>
    <n v="0"/>
    <n v="0"/>
    <s v="greenish"/>
    <n v="3"/>
    <s v="January 3rd, 2024"/>
    <s v="Kenya Coffee Traders Association"/>
    <s v="P.O. Box 646 00100Nairobi, Kenya, Denniss Pritt Road, Opposite St Georges Girls Secondary School"/>
    <s v="Benson Kibicho Kamau - +254 786 821 621"/>
    <x v="17"/>
    <n v="6"/>
  </r>
  <r>
    <n v="91"/>
    <n v="91"/>
    <x v="17"/>
    <s v="MASHIMA AMCOS"/>
    <s v="CN 4127220159/4189220459"/>
    <s v="GOURMET COFFEE MILL"/>
    <s v="DORMAN (T) LTD"/>
    <s v="1400-1700"/>
    <e v="#VALUE!"/>
    <s v="Convertido"/>
    <x v="97"/>
    <s v="DORMAN"/>
    <n v="320"/>
    <s v="60 kg"/>
    <s v="Kenya Coffee Traders Association"/>
    <s v="2022 / 2023"/>
    <s v="November 21st, 2022"/>
    <s v="Gilbert Maina"/>
    <s v="Bourbon"/>
    <s v="Completed"/>
    <s v="Washed / Wet"/>
    <x v="9"/>
    <x v="3"/>
    <n v="7.58"/>
    <n v="7.92"/>
    <n v="7.67"/>
    <x v="11"/>
    <n v="10"/>
    <n v="10"/>
    <n v="10"/>
    <n v="7.75"/>
    <n v="84"/>
    <n v="11.6"/>
    <n v="0"/>
    <n v="0"/>
    <s v="greenish"/>
    <n v="2"/>
    <s v="November 21st, 2023"/>
    <s v="Kenya Coffee Traders Association"/>
    <s v="P.O. Box 646 00100Nairobi, Kenya, Denniss Pritt Road, Opposite St Georges Girls Secondary School"/>
    <s v="Benson Kibicho Kamau - +254 786 821 621"/>
    <x v="17"/>
    <n v="6"/>
  </r>
  <r>
    <n v="128"/>
    <n v="128"/>
    <x v="17"/>
    <s v="MASHIMA AMCOS"/>
    <s v="CN 4127220163/4189220459"/>
    <s v="GOURMET COFFEE MILL"/>
    <s v="DORMAN TANZANIA LTD"/>
    <s v="1400-1700"/>
    <e v="#VALUE!"/>
    <s v="Convertido"/>
    <x v="97"/>
    <s v="DORMAN TANZANIA LTD"/>
    <n v="320"/>
    <s v="60 kg"/>
    <s v="Kenya Coffee Traders Association"/>
    <s v="2022 / 2023"/>
    <s v="January 3rd, 2023"/>
    <s v="Gilbert Maina"/>
    <s v="Bourbon"/>
    <s v="Completed"/>
    <s v="Washed / Wet"/>
    <x v="11"/>
    <x v="12"/>
    <n v="7.42"/>
    <n v="7.5"/>
    <n v="7.67"/>
    <x v="12"/>
    <n v="10"/>
    <n v="10"/>
    <n v="10"/>
    <n v="7.5"/>
    <n v="83.25"/>
    <n v="10.4"/>
    <n v="0"/>
    <n v="0"/>
    <s v="greenish"/>
    <n v="8"/>
    <s v="January 3rd, 2024"/>
    <s v="Kenya Coffee Traders Association"/>
    <s v="P.O. Box 646 00100Nairobi, Kenya, Denniss Pritt Road, Opposite St Georges Girls Secondary School"/>
    <s v="Benson Kibicho Kamau - +254 786 821 621"/>
    <x v="17"/>
    <n v="6"/>
  </r>
  <r>
    <n v="22"/>
    <n v="22"/>
    <x v="18"/>
    <s v="Hom Doi"/>
    <s v="1"/>
    <s v="Machines to peel outer skin of the cherry coffee and coffee is dried manually"/>
    <s v="Lyrose"/>
    <s v="1500-1700"/>
    <e v="#VALUE!"/>
    <s v="Convertido"/>
    <x v="100"/>
    <s v="Lisu farmers"/>
    <n v="2"/>
    <s v="1 kg"/>
    <s v="FABB Academy of Coffee"/>
    <s v="2021 / 2022"/>
    <s v="August 16th, 2022"/>
    <s v="Christian Charmette"/>
    <s v="Catimor"/>
    <s v="Completed"/>
    <s v="Pulped natural / honey"/>
    <x v="10"/>
    <x v="9"/>
    <n v="7.83"/>
    <n v="8"/>
    <n v="8.08"/>
    <x v="9"/>
    <n v="10"/>
    <n v="10"/>
    <n v="10"/>
    <n v="8.08"/>
    <n v="85.67"/>
    <n v="9.8000000000000007"/>
    <n v="0"/>
    <n v="0"/>
    <s v="browish-green"/>
    <n v="5"/>
    <s v="August 16th, 2023"/>
    <s v="FABB Academy of Coffee"/>
    <s v="FABB ACADEMY OF COFFEE 259/313 SUKHUMVIT 71 RD., SOI PRIDI BANOMYONG 15, VHADANA BKK, 10110 THAILAND"/>
    <s v="Janejira Kamonsawedkun - +(66) 095 095 9593"/>
    <x v="18"/>
    <n v="12"/>
  </r>
  <r>
    <n v="96"/>
    <n v="96"/>
    <x v="18"/>
    <s v="Baan San Charoen"/>
    <s v="CQU2022016"/>
    <s v="Baan San Charoen"/>
    <s v="Coffee Quality Union"/>
    <s v="1300-1400"/>
    <e v="#VALUE!"/>
    <s v="Convertido"/>
    <x v="101"/>
    <s v="Phaibul Kitcharoen"/>
    <n v="1"/>
    <s v="30 kg"/>
    <s v="Japan Coffee Exchange"/>
    <s v="2022"/>
    <s v="September 21st, 2022"/>
    <s v="Coffee Quality Union"/>
    <s v="Catimor"/>
    <s v="Completed"/>
    <s v="Natural / Dry"/>
    <x v="9"/>
    <x v="12"/>
    <n v="7.58"/>
    <n v="7.75"/>
    <n v="7.75"/>
    <x v="10"/>
    <n v="10"/>
    <n v="10"/>
    <n v="10"/>
    <n v="7.75"/>
    <n v="83.92"/>
    <n v="11.6"/>
    <n v="0"/>
    <n v="0"/>
    <s v="yellowish"/>
    <n v="3"/>
    <s v="September 21st, 2023"/>
    <s v="Japan Coffee Exchange"/>
    <s v="〒413-0002 静岡県熱海市伊豆山１１７３−５８ 1173-58 Izusan, Atami, Shizuoka, 413-0002 JAPAN"/>
    <s v="松澤　宏樹　Koju Matsuzawa - +81(0)9085642901"/>
    <x v="18"/>
    <n v="12"/>
  </r>
  <r>
    <n v="115"/>
    <n v="115"/>
    <x v="18"/>
    <s v="Doi Tung Development Project"/>
    <s v="BOURBON 21/22 (Coffea Arabica)"/>
    <s v="Dry Mill"/>
    <s v="Doi Tung Development Project"/>
    <s v="1200 - 1580"/>
    <e v="#VALUE!"/>
    <s v="Convertido"/>
    <x v="102"/>
    <s v="Doi Tung Development Project"/>
    <n v="2"/>
    <s v="1 kg"/>
    <s v="FABB Academy of Coffee"/>
    <s v="2022"/>
    <s v="July 14th, 2022"/>
    <s v="Doi Tung Development Project"/>
    <s v="Bourbon"/>
    <s v="Completed"/>
    <s v="Washed / Wet"/>
    <x v="3"/>
    <x v="11"/>
    <n v="7.58"/>
    <n v="7.67"/>
    <n v="7.67"/>
    <x v="11"/>
    <n v="10"/>
    <n v="10"/>
    <n v="10"/>
    <n v="7.58"/>
    <n v="83.5"/>
    <n v="13.1"/>
    <n v="0"/>
    <n v="0"/>
    <s v="green"/>
    <n v="0"/>
    <s v="July 14th, 2023"/>
    <s v="FABB Academy of Coffee"/>
    <s v="FABB ACADEMY OF COFFEE 259/313 SUKHUMVIT 71 RD., SOI PRIDI BANOMYONG 15, VHADANA BKK, 10110 THAILAND"/>
    <s v="Janejira Kamonsawedkun - +(66) 095 095 9593"/>
    <x v="18"/>
    <n v="12"/>
  </r>
  <r>
    <n v="117"/>
    <n v="117"/>
    <x v="18"/>
    <s v="Doi Nan"/>
    <s v="CQU2022011"/>
    <s v="Doi Nan"/>
    <s v="Coffee Quality Union"/>
    <s v="1450"/>
    <n v="442"/>
    <s v="Convertido"/>
    <x v="103"/>
    <s v="Chalerm"/>
    <n v="5"/>
    <s v="2 kg"/>
    <s v="Japan Coffee Exchange"/>
    <s v="2022"/>
    <s v="June 16th, 2022"/>
    <s v="Coffee Quality Union"/>
    <s v="Java"/>
    <s v="Completed"/>
    <s v="Washed / Wet"/>
    <x v="10"/>
    <x v="12"/>
    <n v="7.5"/>
    <n v="7.67"/>
    <n v="7.58"/>
    <x v="10"/>
    <n v="10"/>
    <n v="10"/>
    <n v="10"/>
    <n v="7.67"/>
    <n v="83.42"/>
    <n v="11.6"/>
    <n v="0"/>
    <n v="2"/>
    <s v="green"/>
    <n v="0"/>
    <s v="June 16th, 2023"/>
    <s v="Japan Coffee Exchange"/>
    <s v="〒413-0002 静岡県熱海市伊豆山１１７３−５８ 1173-58 Izusan, Atami, Shizuoka, 413-0002 JAPAN"/>
    <s v="松澤　宏樹　Koju Matsuzawa - +81(0)9085642901"/>
    <x v="18"/>
    <n v="12"/>
  </r>
  <r>
    <n v="127"/>
    <n v="127"/>
    <x v="18"/>
    <s v="Doi Tung Development Project"/>
    <s v="TYPICA 21/22 (Coffea Arabica)"/>
    <s v="Dry Mill"/>
    <s v="Doi Tung Development Project"/>
    <s v="1300-1500"/>
    <e v="#VALUE!"/>
    <s v="Convertido"/>
    <x v="102"/>
    <s v="Doi Tung Development Project"/>
    <n v="2"/>
    <s v="1 kg"/>
    <s v="FABB Academy of Coffee"/>
    <s v="2022"/>
    <s v="July 14th, 2022"/>
    <s v="Doi Tung Development Project"/>
    <s v="Typica"/>
    <s v="Completed"/>
    <s v="Washed / Wet"/>
    <x v="11"/>
    <x v="1"/>
    <n v="7.75"/>
    <n v="7.33"/>
    <n v="7.58"/>
    <x v="1"/>
    <n v="10"/>
    <n v="10"/>
    <n v="10"/>
    <n v="7.33"/>
    <n v="83.33"/>
    <n v="12.3"/>
    <n v="0"/>
    <n v="0"/>
    <s v="yellow-green"/>
    <n v="16"/>
    <s v="July 14th, 2023"/>
    <s v="FABB Academy of Coffee"/>
    <s v="FABB ACADEMY OF COFFEE 259/313 SUKHUMVIT 71 RD., SOI PRIDI BANOMYONG 15, VHADANA BKK, 10110 THAILAND"/>
    <s v="Janejira Kamonsawedkun - +(66) 095 095 9593"/>
    <x v="18"/>
    <n v="12"/>
  </r>
  <r>
    <n v="145"/>
    <n v="145"/>
    <x v="18"/>
    <s v="Doi Tung Development Project"/>
    <s v="GAYO 21/22 (Coffea Arabica)"/>
    <s v="Dry Mill"/>
    <s v="Doi Tung Development Project"/>
    <s v="1300-1500"/>
    <e v="#VALUE!"/>
    <s v="Convertido"/>
    <x v="102"/>
    <s v="Doi Tung Development Project"/>
    <n v="2"/>
    <s v="1 kg"/>
    <s v="FABB Academy of Coffee"/>
    <s v="2022"/>
    <s v="July 14th, 2022"/>
    <s v="Doi Tung Development Project"/>
    <s v="Gayo"/>
    <s v="Completed"/>
    <s v="Washed / Wet"/>
    <x v="5"/>
    <x v="1"/>
    <n v="7.58"/>
    <n v="7.5"/>
    <n v="7.58"/>
    <x v="10"/>
    <n v="10"/>
    <n v="10"/>
    <n v="10"/>
    <n v="7.42"/>
    <n v="82.83"/>
    <n v="11.8"/>
    <n v="0"/>
    <n v="0"/>
    <s v="yellow-green"/>
    <n v="5"/>
    <s v="July 14th, 2023"/>
    <s v="FABB Academy of Coffee"/>
    <s v="FABB ACADEMY OF COFFEE 259/313 SUKHUMVIT 71 RD., SOI PRIDI BANOMYONG 15, VHADANA BKK, 10110 THAILAND"/>
    <s v="Janejira Kamonsawedkun - +(66) 095 095 9593"/>
    <x v="18"/>
    <n v="12"/>
  </r>
  <r>
    <n v="150"/>
    <n v="150"/>
    <x v="18"/>
    <s v="Doi Tung Development Project"/>
    <s v="CATURRA 21/22 (Coffea Arabica)"/>
    <s v="Dry Mill"/>
    <s v="Doi Tung Development Project"/>
    <s v="1200 - 1580"/>
    <e v="#VALUE!"/>
    <s v="Convertido"/>
    <x v="102"/>
    <s v="Doi Tung Development Project"/>
    <n v="2"/>
    <s v="1 kg"/>
    <s v="FABB Academy of Coffee"/>
    <s v="2022"/>
    <s v="July 14th, 2022"/>
    <s v="Doi Tung Development Project"/>
    <s v="Caturra"/>
    <s v="Completed"/>
    <s v="Washed / Wet"/>
    <x v="13"/>
    <x v="3"/>
    <n v="7.58"/>
    <n v="7.5"/>
    <n v="7.67"/>
    <x v="10"/>
    <n v="10"/>
    <n v="10"/>
    <n v="10"/>
    <n v="7.33"/>
    <n v="82.67"/>
    <n v="13"/>
    <n v="1"/>
    <n v="0"/>
    <s v="greenish"/>
    <n v="0"/>
    <s v="July 14th, 2023"/>
    <s v="FABB Academy of Coffee"/>
    <s v="FABB ACADEMY OF COFFEE 259/313 SUKHUMVIT 71 RD., SOI PRIDI BANOMYONG 15, VHADANA BKK, 10110 THAILAND"/>
    <s v="Janejira Kamonsawedkun - +(66) 095 095 9593"/>
    <x v="18"/>
    <n v="12"/>
  </r>
  <r>
    <n v="151"/>
    <n v="151"/>
    <x v="18"/>
    <s v="Kevin Coffee"/>
    <s v="21/22"/>
    <s v="Dry mill"/>
    <s v="Square Root"/>
    <s v="1200"/>
    <n v="366"/>
    <s v="Convertido"/>
    <x v="100"/>
    <s v="Kevin Wattana"/>
    <n v="6"/>
    <s v="50 kg"/>
    <s v="Specialty Coffee Institute of Thailand"/>
    <s v="2021 / 2022"/>
    <s v="June 14th, 2022"/>
    <s v="Sajcha tawaytibhong"/>
    <s v="Bourbon, Catimor, Caturra, Typica"/>
    <s v="Completed"/>
    <s v="Natural / Dry"/>
    <x v="2"/>
    <x v="3"/>
    <n v="7.5"/>
    <n v="7.42"/>
    <n v="7.5"/>
    <x v="12"/>
    <n v="10"/>
    <n v="10"/>
    <n v="10"/>
    <n v="7.58"/>
    <n v="82.67"/>
    <n v="11.2"/>
    <n v="0"/>
    <n v="0"/>
    <s v="yellow green"/>
    <n v="0"/>
    <s v="June 14th, 2023"/>
    <s v="Specialty Coffee Institute of Thailand"/>
    <s v="No.76-82 Satri Wittaya 2 Soi 6, Ladplao, Bangkok 10230 Thailand"/>
    <s v="Rinlapat Siwachairot - +66 2 118 0811, +66 926462492"/>
    <x v="18"/>
    <n v="12"/>
  </r>
  <r>
    <n v="175"/>
    <n v="175"/>
    <x v="18"/>
    <s v="Doi Tung Development Project"/>
    <s v="MIXED DT 21/22 (Coffea Arabica)"/>
    <s v="Dry Mill"/>
    <s v="Doi Tung Development Project"/>
    <s v="800-1200"/>
    <e v="#VALUE!"/>
    <s v="Convertido"/>
    <x v="102"/>
    <s v="Doi Tung Development Project"/>
    <n v="2"/>
    <s v="1 kg"/>
    <s v="FABB Academy of Coffee"/>
    <s v="2022"/>
    <s v="July 14th, 2022"/>
    <s v="Doi Tung Development Project"/>
    <s v="Catimor"/>
    <s v="Completed"/>
    <s v="Washed / Wet"/>
    <x v="5"/>
    <x v="2"/>
    <n v="7.42"/>
    <n v="7.42"/>
    <n v="7.58"/>
    <x v="1"/>
    <n v="10"/>
    <n v="10"/>
    <n v="10"/>
    <n v="7.42"/>
    <n v="82"/>
    <n v="9.8000000000000007"/>
    <n v="0"/>
    <n v="0"/>
    <s v="green"/>
    <n v="0"/>
    <s v="July 14th, 2023"/>
    <s v="FABB Academy of Coffee"/>
    <s v="FABB ACADEMY OF COFFEE 259/313 SUKHUMVIT 71 RD., SOI PRIDI BANOMYONG 15, VHADANA BKK, 10110 THAILAND"/>
    <s v="Janejira Kamonsawedkun - +(66) 095 095 9593"/>
    <x v="18"/>
    <n v="12"/>
  </r>
  <r>
    <n v="190"/>
    <n v="190"/>
    <x v="18"/>
    <s v="Doi Tung Development Project"/>
    <s v="JAVA 21/22 (Coffea Arabica)"/>
    <s v="Dry Mill"/>
    <s v="Doi Tung Development Project"/>
    <s v="1300-1500"/>
    <e v="#VALUE!"/>
    <s v="Convertido"/>
    <x v="102"/>
    <s v="Doi Tung Development Project"/>
    <n v="2"/>
    <s v="1 kg"/>
    <s v="FABB Academy of Coffee"/>
    <s v="2022"/>
    <s v="July 14th, 2022"/>
    <s v="Doi Tung Development Project"/>
    <s v="Java"/>
    <s v="Completed"/>
    <s v="Washed / Wet"/>
    <x v="13"/>
    <x v="4"/>
    <n v="7.25"/>
    <n v="7.33"/>
    <n v="7.5"/>
    <x v="2"/>
    <n v="10"/>
    <n v="10"/>
    <n v="10"/>
    <n v="7.17"/>
    <n v="81.42"/>
    <n v="11.6"/>
    <n v="2"/>
    <n v="0"/>
    <s v="green"/>
    <n v="1"/>
    <s v="July 14th, 2023"/>
    <s v="FABB Academy of Coffee"/>
    <s v="FABB ACADEMY OF COFFEE 259/313 SUKHUMVIT 71 RD., SOI PRIDI BANOMYONG 15, VHADANA BKK, 10110 THAILAND"/>
    <s v="Janejira Kamonsawedkun - +(66) 095 095 9593"/>
    <x v="18"/>
    <n v="12"/>
  </r>
  <r>
    <n v="191"/>
    <n v="191"/>
    <x v="18"/>
    <s v="Doi Lan"/>
    <s v="The 2022 Pacific Rim Coffee Summit,TH07"/>
    <s v="Miramar Coffee"/>
    <s v="Taiwan Coffee Laboratory"/>
    <s v="1400"/>
    <n v="427"/>
    <s v="Convertido"/>
    <x v="104"/>
    <s v="Prakol Saelee"/>
    <n v="5"/>
    <s v="15 kg"/>
    <s v="Taiwan Coffee Laboratory 台灣咖啡研究室"/>
    <s v="2021"/>
    <s v="November 15th, 2022"/>
    <s v="Full Sweet Coffee"/>
    <s v="Typica Bourbon Caturra Catimor"/>
    <s v="Completed"/>
    <s v="Natural / Dry"/>
    <x v="3"/>
    <x v="13"/>
    <n v="7.33"/>
    <n v="7.42"/>
    <n v="7.33"/>
    <x v="3"/>
    <n v="10"/>
    <n v="10"/>
    <n v="10"/>
    <n v="7.25"/>
    <n v="81.33"/>
    <n v="10.5"/>
    <n v="0"/>
    <n v="0"/>
    <s v="yellowish"/>
    <n v="5"/>
    <s v="November 15th, 2023"/>
    <s v="Taiwan Coffee Laboratory 台灣咖啡研究室"/>
    <s v="QAHWAH CO., LTD 4F, No. 225, Sec. 3, Beixin Rd., Xindian Dist. New Taipei City, Taiwan"/>
    <s v="Lin, Jen-An Neil 林仁安 - 886-289116612"/>
    <x v="18"/>
    <n v="12"/>
  </r>
  <r>
    <n v="192"/>
    <n v="192"/>
    <x v="18"/>
    <s v="Doi Tung Development Project"/>
    <s v="MIXED 21/22 (Coffea Arabica)"/>
    <s v="Dry Mill"/>
    <s v="Doi Tung Development Project"/>
    <s v="600-800"/>
    <e v="#VALUE!"/>
    <s v="Convertido"/>
    <x v="102"/>
    <s v="Doi Tung Development Project"/>
    <n v="2"/>
    <s v="1 kg"/>
    <s v="FABB Academy of Coffee"/>
    <s v="2022"/>
    <s v="July 14th, 2022"/>
    <s v="Doi Tung Development Project"/>
    <s v="Catimor"/>
    <s v="Completed"/>
    <s v="Washed / Wet"/>
    <x v="4"/>
    <x v="13"/>
    <n v="7.42"/>
    <n v="7.25"/>
    <n v="7.42"/>
    <x v="2"/>
    <n v="10"/>
    <n v="10"/>
    <n v="10"/>
    <n v="7.17"/>
    <n v="81.17"/>
    <n v="10.4"/>
    <n v="0"/>
    <n v="0"/>
    <s v="green"/>
    <n v="0"/>
    <s v="July 14th, 2023"/>
    <s v="FABB Academy of Coffee"/>
    <s v="FABB ACADEMY OF COFFEE 259/313 SUKHUMVIT 71 RD., SOI PRIDI BANOMYONG 15, VHADANA BKK, 10110 THAILAND"/>
    <s v="Janejira Kamonsawedkun - +(66) 095 095 9593"/>
    <x v="18"/>
    <n v="12"/>
  </r>
  <r>
    <n v="43"/>
    <n v="43"/>
    <x v="19"/>
    <s v="Gideon Kule"/>
    <s v="7938"/>
    <s v="Dry Mill"/>
    <s v="Kyagalanyi Coffee Limited"/>
    <s v="1905"/>
    <n v="581"/>
    <s v="Convertido"/>
    <x v="105"/>
    <s v="Kyagalanyi coffee limited"/>
    <n v="320"/>
    <s v="60 kg"/>
    <s v="Uganda Coffee Development Authority"/>
    <s v="2021 / 2022"/>
    <s v="June 29th, 2022"/>
    <s v="KYAGALANYI COFFEE LIMITED"/>
    <s v="SL14"/>
    <s v="Completed"/>
    <s v="Washed / Wet"/>
    <x v="12"/>
    <x v="1"/>
    <n v="7.75"/>
    <n v="7.75"/>
    <n v="7.75"/>
    <x v="8"/>
    <n v="10"/>
    <n v="10"/>
    <n v="10"/>
    <n v="7.92"/>
    <n v="85"/>
    <n v="11"/>
    <n v="0"/>
    <n v="0"/>
    <s v="green"/>
    <n v="1"/>
    <s v="June 29th, 2023"/>
    <s v="Uganda Coffee Development Authority"/>
    <s v="Coffee House, Plot 35, Jinja Road, P.O. Box 7267, Kampala, Uganda"/>
    <s v="Brenda Kamara Kemigisha Mangeni - 256773040119"/>
    <x v="19"/>
    <n v="3"/>
  </r>
  <r>
    <n v="118"/>
    <n v="118"/>
    <x v="19"/>
    <s v="Bugisu Shamba"/>
    <s v="035/170/5021210"/>
    <s v="Kawacom"/>
    <s v="Kawacom uganda LTD"/>
    <s v="1400 - 1900"/>
    <e v="#VALUE!"/>
    <s v="Convertido"/>
    <x v="106"/>
    <s v="Kawacom Uganda Ltd"/>
    <n v="150"/>
    <s v="60 kg"/>
    <s v="Uganda Coffee Development Authority"/>
    <s v="2021 / 2022"/>
    <s v="July 7th, 2022"/>
    <s v="Kawacom Uganda LTD"/>
    <s v="SL14"/>
    <s v="Completed"/>
    <s v="Washed / Wet"/>
    <x v="9"/>
    <x v="10"/>
    <n v="7.5"/>
    <n v="7.5"/>
    <n v="7.58"/>
    <x v="12"/>
    <n v="10"/>
    <n v="10"/>
    <n v="10"/>
    <n v="7.75"/>
    <n v="83.42"/>
    <n v="10.1"/>
    <n v="0"/>
    <n v="0"/>
    <s v="green"/>
    <n v="3"/>
    <s v="July 7th, 2023"/>
    <s v="Uganda Coffee Development Authority"/>
    <s v="Coffee House, Plot 35, Jinja Road, P.O. Box 7267, Kampala, Uganda"/>
    <s v="Brenda Kamara Kemigisha Mangeni - 256773040119"/>
    <x v="19"/>
    <n v="3"/>
  </r>
  <r>
    <n v="120"/>
    <n v="120"/>
    <x v="19"/>
    <s v="Masereka William"/>
    <s v="7969"/>
    <s v="Dry Mill"/>
    <s v="Kyagalanyi Coffee Limited"/>
    <s v="1905"/>
    <n v="581"/>
    <s v="Convertido"/>
    <x v="105"/>
    <s v="Kyagalanyi coffee limited"/>
    <n v="320"/>
    <s v="60 kg"/>
    <s v="Uganda Coffee Development Authority"/>
    <s v="2021 / 2022"/>
    <s v="September 1st, 2022"/>
    <s v="KYAGALANYI COFFEE LIMITED"/>
    <s v="SL14"/>
    <s v="Completed"/>
    <s v="Washed / Wet"/>
    <x v="9"/>
    <x v="12"/>
    <n v="7.58"/>
    <n v="7.5"/>
    <n v="7.67"/>
    <x v="1"/>
    <n v="10"/>
    <n v="10"/>
    <n v="10"/>
    <n v="7.67"/>
    <n v="83.33"/>
    <n v="11.1"/>
    <n v="0"/>
    <n v="0"/>
    <s v="green"/>
    <n v="5"/>
    <s v="September 1st, 2023"/>
    <s v="Uganda Coffee Development Authority"/>
    <s v="Coffee House, Plot 35, Jinja Road, P.O. Box 7267, Kampala, Uganda"/>
    <s v="Brenda Kamara Kemigisha Mangeni - 256773040119"/>
    <x v="19"/>
    <n v="3"/>
  </r>
  <r>
    <n v="29"/>
    <n v="29"/>
    <x v="20"/>
    <s v="Hokukano Ranch"/>
    <s v="The 2022 Pacific Rim Coffee Summit,US01"/>
    <s v="Kona Coffee &amp; Tea"/>
    <s v="Taiwan Coffee Laboratory"/>
    <s v="600"/>
    <n v="183"/>
    <s v="Convertido"/>
    <x v="107"/>
    <s v="Kona Hills LLC"/>
    <n v="80"/>
    <s v="15 kg"/>
    <s v="Taiwan Coffee Laboratory 台灣咖啡研究室"/>
    <s v="2021 / 2022"/>
    <s v="November 15th, 2022"/>
    <s v="Taiwan Coffee Laboratory 台灣咖啡研究室"/>
    <s v="Typica"/>
    <s v="Completed"/>
    <s v="Washed / Wet"/>
    <x v="12"/>
    <x v="1"/>
    <n v="8"/>
    <n v="7.83"/>
    <n v="7.67"/>
    <x v="9"/>
    <n v="10"/>
    <n v="10"/>
    <n v="10"/>
    <n v="8"/>
    <n v="85.42"/>
    <n v="9.3000000000000007"/>
    <n v="0"/>
    <n v="0"/>
    <s v="green"/>
    <n v="0"/>
    <s v="November 15th, 2023"/>
    <s v="Taiwan Coffee Laboratory 台灣咖啡研究室"/>
    <s v="QAHWAH CO., LTD 4F, No. 225, Sec. 3, Beixin Rd., Xindian Dist. New Taipei City, Taiwan"/>
    <s v="Lin, Jen-An Neil 林仁安 - 886-289116612"/>
    <x v="20"/>
    <n v="5"/>
  </r>
  <r>
    <n v="75"/>
    <n v="75"/>
    <x v="20"/>
    <s v="Miranda's Farm"/>
    <s v="Islander’s Coffee for Pacific Rim Summit"/>
    <s v="Greenwell"/>
    <s v="Taiwan Coffee Laboratory"/>
    <s v="1300"/>
    <n v="396"/>
    <s v="Convertido"/>
    <x v="108"/>
    <s v="Jose &amp; Berta Miranda"/>
    <n v="10"/>
    <s v="10 kg"/>
    <s v="Taiwan Coffee Laboratory 台灣咖啡研究室"/>
    <s v="2022"/>
    <s v="November 9th, 2022"/>
    <s v="Taiwan Coffee Laboratory 台灣咖啡研究室"/>
    <s v="Catuai"/>
    <s v="Completed"/>
    <s v="Washed / Wet"/>
    <x v="11"/>
    <x v="11"/>
    <n v="7.75"/>
    <n v="7.92"/>
    <n v="7.5"/>
    <x v="10"/>
    <n v="10"/>
    <n v="10"/>
    <n v="10"/>
    <n v="7.75"/>
    <n v="84.33"/>
    <n v="10.1"/>
    <n v="3"/>
    <n v="0"/>
    <s v="yellow-green"/>
    <n v="7"/>
    <s v="November 9th, 2023"/>
    <s v="Taiwan Coffee Laboratory 台灣咖啡研究室"/>
    <s v="QAHWAH CO., LTD 4F, No. 225, Sec. 3, Beixin Rd., Xindian Dist. New Taipei City, Taiwan"/>
    <s v="Lin, Jen-An Neil 林仁安 - 886-289116612"/>
    <x v="20"/>
    <n v="5"/>
  </r>
  <r>
    <n v="102"/>
    <n v="102"/>
    <x v="20"/>
    <s v="various farms"/>
    <s v="The 2022 Pacific Rim Coffee Summit,US02"/>
    <s v="Aloha Hills Kona Coffee"/>
    <s v="Taiwan Coffee Laboratory"/>
    <s v="400-600"/>
    <e v="#VALUE!"/>
    <s v="Convertido"/>
    <x v="109"/>
    <s v="Isla Custom Coffees"/>
    <n v="4"/>
    <s v="15 kg"/>
    <s v="Taiwan Coffee Laboratory 台灣咖啡研究室"/>
    <s v="2022"/>
    <s v="November 15th, 2022"/>
    <s v="Taiwan Coffee Laboratory 台灣咖啡研究室"/>
    <s v="Typica"/>
    <s v="Completed"/>
    <s v="Washed / Wet"/>
    <x v="10"/>
    <x v="1"/>
    <n v="7.58"/>
    <n v="7.58"/>
    <n v="7.58"/>
    <x v="11"/>
    <n v="10"/>
    <n v="10"/>
    <n v="10"/>
    <n v="7.75"/>
    <n v="83.83"/>
    <n v="11.8"/>
    <n v="0"/>
    <n v="3"/>
    <s v="green"/>
    <n v="3"/>
    <s v="November 15th, 2023"/>
    <s v="Taiwan Coffee Laboratory 台灣咖啡研究室"/>
    <s v="QAHWAH CO., LTD 4F, No. 225, Sec. 3, Beixin Rd., Xindian Dist. New Taipei City, Taiwan"/>
    <s v="Lin, Jen-An Neil 林仁安 - 886-289116612"/>
    <x v="20"/>
    <n v="5"/>
  </r>
  <r>
    <n v="159"/>
    <n v="159"/>
    <x v="20"/>
    <s v="Kainaliu Farm"/>
    <s v="The 2022 Pacific Rim Coffee Summit,US03"/>
    <s v="Aloha Hills Kona Coffee"/>
    <s v="Taiwan Coffee Laboratory"/>
    <s v="640"/>
    <n v="195"/>
    <s v="Convertido"/>
    <x v="107"/>
    <s v="Kainaliu-Kona Coffee Company"/>
    <n v="4"/>
    <s v="15 kg"/>
    <s v="Taiwan Coffee Laboratory 台灣咖啡研究室"/>
    <s v="2022"/>
    <s v="November 15th, 2022"/>
    <s v="Taiwan Coffee Laboratory 台灣咖啡研究室"/>
    <s v="Maragogype"/>
    <s v="Completed"/>
    <s v="Washed / Wet"/>
    <x v="13"/>
    <x v="3"/>
    <n v="7.5"/>
    <n v="7.5"/>
    <n v="7.5"/>
    <x v="12"/>
    <n v="10"/>
    <n v="10"/>
    <n v="10"/>
    <n v="7.5"/>
    <n v="82.5"/>
    <n v="11.7"/>
    <n v="0"/>
    <n v="0"/>
    <s v="blue-green"/>
    <n v="1"/>
    <s v="November 15th, 2023"/>
    <s v="Taiwan Coffee Laboratory 台灣咖啡研究室"/>
    <s v="QAHWAH CO., LTD 4F, No. 225, Sec. 3, Beixin Rd., Xindian Dist. New Taipei City, Taiwan"/>
    <s v="Lin, Jen-An Neil 林仁安 - 886-289116612"/>
    <x v="20"/>
    <n v="5"/>
  </r>
  <r>
    <n v="169"/>
    <n v="169"/>
    <x v="20"/>
    <s v="Manny's Farm"/>
    <s v="Islander’s Coffee for Pacific Rim Summit"/>
    <s v="Manny's Farm"/>
    <s v="Taiwan Coffee Laboratory"/>
    <s v="1200"/>
    <n v="366"/>
    <s v="Convertido"/>
    <x v="110"/>
    <s v="Manny Ochoa"/>
    <n v="3"/>
    <s v="30 kg"/>
    <s v="Taiwan Coffee Laboratory 台灣咖啡研究室"/>
    <s v="2022"/>
    <s v="November 9th, 2022"/>
    <s v="Taiwan Coffee Laboratory 台灣咖啡研究室"/>
    <s v="Typica"/>
    <s v="Completed"/>
    <s v="Washed / Wet"/>
    <x v="9"/>
    <x v="4"/>
    <n v="7.33"/>
    <n v="7.5"/>
    <n v="7.33"/>
    <x v="1"/>
    <n v="10"/>
    <n v="10"/>
    <n v="10"/>
    <n v="7.33"/>
    <n v="82.17"/>
    <n v="10.6"/>
    <n v="1"/>
    <n v="0"/>
    <s v="green"/>
    <n v="5"/>
    <s v="November 9th, 2023"/>
    <s v="Taiwan Coffee Laboratory 台灣咖啡研究室"/>
    <s v="QAHWAH CO., LTD 4F, No. 225, Sec. 3, Beixin Rd., Xindian Dist. New Taipei City, Taiwan"/>
    <s v="Lin, Jen-An Neil 林仁安 - 886-289116612"/>
    <x v="20"/>
    <n v="5"/>
  </r>
  <r>
    <n v="67"/>
    <n v="67"/>
    <x v="21"/>
    <s v="CupnCare"/>
    <s v="The 2022 Pacific Rim Coffee Summit,VN02"/>
    <s v="CupnCare"/>
    <s v="Taiwan Coffee Laboratory"/>
    <s v="650"/>
    <n v="198"/>
    <s v="Convertido"/>
    <x v="111"/>
    <s v="TONG PHUC LAM TRADING SERVICES COMPANY LIMITED"/>
    <n v="3"/>
    <s v="5 kg"/>
    <s v="Taiwan Coffee Laboratory 台灣咖啡研究室"/>
    <s v="2021 / 2022"/>
    <s v="November 15th, 2022"/>
    <s v="Taiwan Coffee Laboratory 台灣咖啡研究室"/>
    <s v="Catimor"/>
    <s v="Completed"/>
    <s v="Natural / Dry"/>
    <x v="12"/>
    <x v="11"/>
    <n v="7.75"/>
    <n v="7.67"/>
    <n v="7.58"/>
    <x v="0"/>
    <n v="10"/>
    <n v="10"/>
    <n v="10"/>
    <n v="7.92"/>
    <n v="84.58"/>
    <n v="11.6"/>
    <n v="0"/>
    <n v="0"/>
    <s v="brownish"/>
    <n v="0"/>
    <s v="November 15th, 2023"/>
    <s v="Taiwan Coffee Laboratory 台灣咖啡研究室"/>
    <s v="QAHWAH CO., LTD 4F, No. 225, Sec. 3, Beixin Rd., Xindian Dist. New Taipei City, Taiwan"/>
    <s v="Lin, Jen-An Neil 林仁安 - 886-289116612"/>
    <x v="21"/>
    <n v="4"/>
  </r>
  <r>
    <n v="146"/>
    <n v="146"/>
    <x v="21"/>
    <s v="Ea tan Cooperative"/>
    <s v="VHA- S3"/>
    <s v="SIMEXCO DAKLAK LTD"/>
    <s v="SIMEXCO DAKLAK LTD"/>
    <s v="900"/>
    <n v="274"/>
    <s v="Convertido"/>
    <x v="112"/>
    <s v="Ea Tan Cooperative"/>
    <n v="22"/>
    <s v="60 kg"/>
    <s v="Specialty Coffee Association"/>
    <s v="2021 / 2022"/>
    <s v="June 3rd, 2022"/>
    <s v="Simexco DakLak"/>
    <s v="Catimor"/>
    <s v="Completed"/>
    <s v="Pulped natural / honey"/>
    <x v="1"/>
    <x v="4"/>
    <n v="7.58"/>
    <n v="7.5"/>
    <n v="7.67"/>
    <x v="11"/>
    <n v="10"/>
    <n v="10"/>
    <n v="10"/>
    <n v="7.33"/>
    <n v="82.83"/>
    <n v="13.3"/>
    <n v="0"/>
    <n v="0"/>
    <s v="green"/>
    <n v="4"/>
    <s v="June 3rd, 2023"/>
    <s v="Specialty Coffee Association"/>
    <s v="*CURRENTLY NOT ACCEPTING SAMPLES**"/>
    <s v="Brit Amell (CQI) - bamell@coffeeinstitute.org -"/>
    <x v="21"/>
    <n v="4"/>
  </r>
  <r>
    <n v="164"/>
    <n v="164"/>
    <x v="21"/>
    <s v="Apollo Estate"/>
    <s v="Apollo Washed 2021"/>
    <s v="Dry Mill"/>
    <s v="Sunvirtue Co., Ltd."/>
    <s v="1040"/>
    <n v="317"/>
    <s v="Convertido"/>
    <x v="113"/>
    <s v="Yeh,Li Chuan"/>
    <n v="77"/>
    <s v="15 kg"/>
    <s v="Specialty Coffee Association"/>
    <s v="2021"/>
    <s v="June 1st, 2022"/>
    <s v="Sunvirtue Co., Ltd."/>
    <s v="Catimor"/>
    <s v="Completed"/>
    <s v="Washed / Wet"/>
    <x v="2"/>
    <x v="2"/>
    <n v="7.33"/>
    <n v="7.5"/>
    <n v="7.5"/>
    <x v="2"/>
    <n v="10"/>
    <n v="10"/>
    <n v="10"/>
    <n v="7.58"/>
    <n v="82.33"/>
    <n v="10.5"/>
    <n v="0"/>
    <n v="0"/>
    <s v="bluish-green"/>
    <n v="0"/>
    <s v="June 1st, 2023"/>
    <s v="Specialty Coffee Association"/>
    <s v="*CURRENTLY NOT ACCEPTING SAMPLES**"/>
    <s v="Brit Amell (CQI) - bamell@coffeeinstitute.org -"/>
    <x v="21"/>
    <n v="4"/>
  </r>
  <r>
    <n v="182"/>
    <n v="182"/>
    <x v="21"/>
    <s v="Gaia Farms"/>
    <s v="221221"/>
    <s v="Hulling Facility"/>
    <s v="Brew Baby Coffee Company"/>
    <s v="5400"/>
    <n v="1646"/>
    <s v="Convertido"/>
    <x v="114"/>
    <s v="Viet Coffee Company Limited"/>
    <n v="1"/>
    <s v="1 kg"/>
    <s v="Firedancer Coffee Consultants"/>
    <s v="2022 / 2023"/>
    <s v="April 10th, 2023"/>
    <s v="Rodney Murray"/>
    <s v="Catimor"/>
    <s v="Completed"/>
    <s v="Pulped natural / honey"/>
    <x v="2"/>
    <x v="2"/>
    <n v="7.25"/>
    <n v="7.42"/>
    <n v="7.42"/>
    <x v="2"/>
    <n v="10"/>
    <n v="10"/>
    <n v="10"/>
    <n v="7.33"/>
    <n v="81.83"/>
    <n v="11.2"/>
    <n v="0"/>
    <n v="0"/>
    <s v="green"/>
    <n v="4"/>
    <s v="April 9th, 2024"/>
    <s v="Firedancer Coffee Consultants"/>
    <s v="165 Commerce Drive, Ste 103"/>
    <s v="Firedancer Coffee Consultants -"/>
    <x v="2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76D90C-4AC2-4827-92DD-C271EF4D42D7}"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29:D30" firstHeaderRow="0" firstDataRow="1" firstDataCol="0"/>
  <pivotFields count="43">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items count="116">
        <item x="15"/>
        <item x="92"/>
        <item x="36"/>
        <item x="57"/>
        <item x="33"/>
        <item x="5"/>
        <item x="38"/>
        <item x="42"/>
        <item x="25"/>
        <item x="98"/>
        <item x="43"/>
        <item x="64"/>
        <item x="75"/>
        <item x="18"/>
        <item x="1"/>
        <item x="86"/>
        <item x="14"/>
        <item x="60"/>
        <item x="54"/>
        <item x="49"/>
        <item x="24"/>
        <item x="77"/>
        <item x="78"/>
        <item x="100"/>
        <item x="104"/>
        <item x="66"/>
        <item x="79"/>
        <item x="35"/>
        <item x="69"/>
        <item x="22"/>
        <item x="113"/>
        <item x="85"/>
        <item x="112"/>
        <item x="71"/>
        <item x="32"/>
        <item x="29"/>
        <item x="37"/>
        <item x="28"/>
        <item x="82"/>
        <item x="41"/>
        <item x="12"/>
        <item x="65"/>
        <item x="74"/>
        <item x="109"/>
        <item x="108"/>
        <item x="61"/>
        <item x="97"/>
        <item x="107"/>
        <item x="110"/>
        <item x="114"/>
        <item x="62"/>
        <item x="58"/>
        <item x="56"/>
        <item x="55"/>
        <item x="19"/>
        <item x="3"/>
        <item x="4"/>
        <item x="52"/>
        <item x="53"/>
        <item x="72"/>
        <item x="73"/>
        <item x="99"/>
        <item x="6"/>
        <item x="106"/>
        <item x="101"/>
        <item x="91"/>
        <item x="46"/>
        <item x="47"/>
        <item x="63"/>
        <item x="102"/>
        <item x="23"/>
        <item x="48"/>
        <item x="44"/>
        <item x="30"/>
        <item x="13"/>
        <item x="7"/>
        <item x="16"/>
        <item x="8"/>
        <item x="111"/>
        <item x="40"/>
        <item x="10"/>
        <item x="0"/>
        <item x="105"/>
        <item x="50"/>
        <item x="51"/>
        <item x="39"/>
        <item x="17"/>
        <item x="81"/>
        <item x="34"/>
        <item x="45"/>
        <item x="11"/>
        <item x="70"/>
        <item x="31"/>
        <item x="103"/>
        <item x="2"/>
        <item x="59"/>
        <item x="20"/>
        <item x="9"/>
        <item x="68"/>
        <item x="76"/>
        <item x="26"/>
        <item x="27"/>
        <item x="21"/>
        <item x="80"/>
        <item x="67"/>
        <item x="83"/>
        <item x="88"/>
        <item x="84"/>
        <item x="94"/>
        <item x="90"/>
        <item x="95"/>
        <item x="93"/>
        <item x="87"/>
        <item x="96"/>
        <item x="89"/>
        <item t="default"/>
      </items>
    </pivotField>
    <pivotField showAll="0"/>
    <pivotField showAll="0"/>
    <pivotField showAll="0"/>
    <pivotField showAll="0"/>
    <pivotField showAll="0"/>
    <pivotField showAll="0"/>
    <pivotField showAll="0"/>
    <pivotField showAll="0"/>
    <pivotField showAll="0"/>
    <pivotField showAll="0"/>
    <pivotField dataField="1" showAll="0">
      <items count="20">
        <item sd="0" x="15"/>
        <item x="14"/>
        <item x="5"/>
        <item x="4"/>
        <item x="13"/>
        <item x="3"/>
        <item x="2"/>
        <item x="1"/>
        <item x="10"/>
        <item x="9"/>
        <item x="0"/>
        <item x="11"/>
        <item x="12"/>
        <item x="8"/>
        <item x="16"/>
        <item x="18"/>
        <item x="7"/>
        <item x="17"/>
        <item x="6"/>
        <item t="default"/>
      </items>
    </pivotField>
    <pivotField dataField="1" showAll="0">
      <items count="20">
        <item x="16"/>
        <item x="6"/>
        <item x="5"/>
        <item sd="0" x="13"/>
        <item x="15"/>
        <item x="4"/>
        <item x="2"/>
        <item x="3"/>
        <item x="12"/>
        <item x="10"/>
        <item x="11"/>
        <item x="1"/>
        <item x="9"/>
        <item x="0"/>
        <item x="14"/>
        <item x="17"/>
        <item x="8"/>
        <item x="18"/>
        <item x="7"/>
        <item t="default"/>
      </items>
    </pivotField>
    <pivotField showAll="0"/>
    <pivotField showAll="0"/>
    <pivotField showAll="0"/>
    <pivotField dataField="1" showAll="0">
      <items count="19">
        <item x="6"/>
        <item x="14"/>
        <item x="15"/>
        <item x="5"/>
        <item x="4"/>
        <item x="3"/>
        <item x="2"/>
        <item x="1"/>
        <item x="12"/>
        <item x="10"/>
        <item x="11"/>
        <item x="0"/>
        <item x="8"/>
        <item x="9"/>
        <item x="13"/>
        <item x="16"/>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Promedio de Aroma" fld="21" subtotal="average" baseField="2" baseItem="0" numFmtId="2"/>
    <dataField name="Promedio de Flavor" fld="22" subtotal="average" baseField="2" baseItem="0" numFmtId="2"/>
    <dataField name="Promedio de Balance" fld="26" subtotal="average" baseField="2" baseItem="0" numFmtId="2"/>
  </dataFields>
  <formats count="3">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21260-4491-4DA8-8A27-A017BBDB8420}" name="Mejores_Cafes_LATAM"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chartFormat="6">
  <location ref="B3:D13" firstHeaderRow="0" firstDataRow="1" firstDataCol="1"/>
  <pivotFields count="43">
    <pivotField showAll="0"/>
    <pivotField showAll="0"/>
    <pivotField axis="axisRow" showAll="0" sortType="descending">
      <items count="23">
        <item h="1" x="21"/>
        <item h="1" x="20"/>
        <item h="1" x="19"/>
        <item h="1" x="18"/>
        <item h="1" x="17"/>
        <item h="1" x="16"/>
        <item x="15"/>
        <item x="14"/>
        <item x="13"/>
        <item h="1" x="12"/>
        <item x="11"/>
        <item h="1" x="10"/>
        <item h="1" x="9"/>
        <item h="1" x="8"/>
        <item h="1" x="7"/>
        <item x="6"/>
        <item x="5"/>
        <item h="1" x="4"/>
        <item x="3"/>
        <item x="2"/>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3">
        <item x="3"/>
        <item x="0"/>
        <item x="13"/>
        <item x="15"/>
        <item x="11"/>
        <item x="18"/>
        <item x="21"/>
        <item x="6"/>
        <item x="9"/>
        <item x="14"/>
        <item x="20"/>
        <item x="12"/>
        <item x="7"/>
        <item x="8"/>
        <item x="2"/>
        <item x="1"/>
        <item x="19"/>
        <item x="10"/>
        <item x="5"/>
        <item x="16"/>
        <item x="17"/>
        <item x="4"/>
        <item t="default"/>
      </items>
    </pivotField>
    <pivotField dataField="1" showAll="0"/>
  </pivotFields>
  <rowFields count="1">
    <field x="2"/>
  </rowFields>
  <rowItems count="10">
    <i>
      <x v="16"/>
    </i>
    <i>
      <x v="20"/>
    </i>
    <i>
      <x v="15"/>
    </i>
    <i>
      <x v="21"/>
    </i>
    <i>
      <x v="19"/>
    </i>
    <i>
      <x v="8"/>
    </i>
    <i>
      <x v="18"/>
    </i>
    <i>
      <x v="6"/>
    </i>
    <i>
      <x v="10"/>
    </i>
    <i>
      <x v="7"/>
    </i>
  </rowItems>
  <colFields count="1">
    <field x="-2"/>
  </colFields>
  <colItems count="2">
    <i>
      <x/>
    </i>
    <i i="1">
      <x v="1"/>
    </i>
  </colItems>
  <dataFields count="2">
    <dataField name="Promedio de Promedio_TotalCup" fld="41" subtotal="average" baseField="2" baseItem="5"/>
    <dataField name="Cuenta de Muestras" fld="42" subtotal="count" baseField="2" baseItem="14"/>
  </dataFields>
  <formats count="2">
    <format dxfId="9">
      <pivotArea collapsedLevelsAreSubtotals="1" fieldPosition="0">
        <references count="1">
          <reference field="2" count="0"/>
        </references>
      </pivotArea>
    </format>
    <format dxfId="8">
      <pivotArea collapsedLevelsAreSubtotals="1" fieldPosition="0">
        <references count="2">
          <reference field="4294967294" count="1" selected="0">
            <x v="0"/>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24"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5A6006A-2A1C-4EC6-BAAE-8E87C2C2C73B}" autoFormatId="16" applyNumberFormats="0" applyBorderFormats="0" applyFontFormats="0" applyPatternFormats="0" applyAlignmentFormats="0" applyWidthHeightFormats="0">
  <queryTableRefresh nextId="55" unboundColumnsRight="2">
    <queryTableFields count="43">
      <queryTableField id="1" name="Column1" tableColumnId="1"/>
      <queryTableField id="2" name="ID" tableColumnId="2"/>
      <queryTableField id="3" name="Country of Origin" tableColumnId="3"/>
      <queryTableField id="4" name="Farm Name" tableColumnId="4"/>
      <queryTableField id="5" name="Lot Number" tableColumnId="5"/>
      <queryTableField id="6" name="Mill" tableColumnId="6"/>
      <queryTableField id="8" name="Company" tableColumnId="8"/>
      <queryTableField id="9" name="Altitude" tableColumnId="9"/>
      <queryTableField id="44" dataBound="0" tableColumnId="45"/>
      <queryTableField id="45" dataBound="0" tableColumnId="46"/>
      <queryTableField id="10" name="Region" tableColumnId="10"/>
      <queryTableField id="11" name="Producer" tableColumnId="11"/>
      <queryTableField id="12" name="Number of Bags" tableColumnId="12"/>
      <queryTableField id="13" name="Bag Weight" tableColumnId="13"/>
      <queryTableField id="14" name="In-Country Partner" tableColumnId="14"/>
      <queryTableField id="15" name="Harvest Year" tableColumnId="15"/>
      <queryTableField id="16" name="Grading Date" tableColumnId="16"/>
      <queryTableField id="17" name="Owner" tableColumnId="17"/>
      <queryTableField id="18" name="Variety" tableColumnId="18"/>
      <queryTableField id="19" name="Status" tableColumnId="19"/>
      <queryTableField id="20" name="Processing Method" tableColumnId="20"/>
      <queryTableField id="21" name="Aroma" tableColumnId="21"/>
      <queryTableField id="22" name="Flavor" tableColumnId="22"/>
      <queryTableField id="23" name="Aftertaste" tableColumnId="23"/>
      <queryTableField id="24" name="Acidity" tableColumnId="24"/>
      <queryTableField id="25" name="Body" tableColumnId="25"/>
      <queryTableField id="26" name="Balance" tableColumnId="26"/>
      <queryTableField id="27" name="Uniformity" tableColumnId="27"/>
      <queryTableField id="28" name="Clean Cup" tableColumnId="28"/>
      <queryTableField id="29" name="Sweetness" tableColumnId="29"/>
      <queryTableField id="30" name="Overall" tableColumnId="30"/>
      <queryTableField id="32" name="Total Cup Points" tableColumnId="32"/>
      <queryTableField id="33" name="Moisture Percentage" tableColumnId="33"/>
      <queryTableField id="34" name="Category One Defects" tableColumnId="34"/>
      <queryTableField id="35" name="Quakers" tableColumnId="35"/>
      <queryTableField id="36" name="Color" tableColumnId="36"/>
      <queryTableField id="37" name="Category Two Defects" tableColumnId="37"/>
      <queryTableField id="38" name="Expiration" tableColumnId="38"/>
      <queryTableField id="39" name="Certification Body" tableColumnId="39"/>
      <queryTableField id="40" name="Certification Address" tableColumnId="40"/>
      <queryTableField id="41" name="Certification Contact" tableColumnId="41"/>
      <queryTableField id="47" dataBound="0" tableColumnId="48"/>
      <queryTableField id="48" dataBound="0"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01496-7CCD-4AEF-9E4E-DD1E1ADB7B06}" name="df_arabica_clean" displayName="df_arabica_clean" ref="A1:AQ208" tableType="queryTable" totalsRowShown="0">
  <autoFilter ref="A1:AQ208" xr:uid="{21C01496-7CCD-4AEF-9E4E-DD1E1ADB7B06}">
    <filterColumn colId="2">
      <filters>
        <filter val="Brazil"/>
        <filter val="Colombia"/>
        <filter val="Costa Rica"/>
        <filter val="El Salvador"/>
        <filter val="Guatemala"/>
        <filter val="Honduras"/>
        <filter val="Mexico"/>
        <filter val="Nicaragua"/>
        <filter val="Panama"/>
        <filter val="Peru"/>
      </filters>
    </filterColumn>
  </autoFilter>
  <tableColumns count="43">
    <tableColumn id="1" xr3:uid="{C28D4D6A-E867-4B59-B1A7-D81746DB8D06}" uniqueName="1" name="Column1" queryTableFieldId="1"/>
    <tableColumn id="2" xr3:uid="{6250FC4D-0E51-44E4-B1B8-D15CEB1BBC7D}" uniqueName="2" name="ID" queryTableFieldId="2"/>
    <tableColumn id="3" xr3:uid="{24CCB2E3-425F-472A-AE51-FF739D60F0D6}" uniqueName="3" name="Country of Origin" queryTableFieldId="3" dataDxfId="34"/>
    <tableColumn id="4" xr3:uid="{76EB5E8A-C122-4FCD-9064-D42B70D01E11}" uniqueName="4" name="Farm Name" queryTableFieldId="4" dataDxfId="33"/>
    <tableColumn id="5" xr3:uid="{7DA77A7D-F17C-4E2C-BC83-B7BB86AC110B}" uniqueName="5" name="Lot Number" queryTableFieldId="5" dataDxfId="32"/>
    <tableColumn id="6" xr3:uid="{0256FCF9-3C0A-4BD5-8166-507457E9A980}" uniqueName="6" name="Mill" queryTableFieldId="6" dataDxfId="31"/>
    <tableColumn id="8" xr3:uid="{169A45EE-C09B-42AF-BC6C-81741C6263CA}" uniqueName="8" name="Company" queryTableFieldId="8" dataDxfId="30"/>
    <tableColumn id="9" xr3:uid="{B048D16E-C0BB-4EB2-ADEB-EB2465082378}" uniqueName="9" name="Altitude" queryTableFieldId="9" dataDxfId="29"/>
    <tableColumn id="45" xr3:uid="{CCFF96BA-ED53-41F9-BBC1-4489CE9F383C}" uniqueName="45" name="Altitud_Limpia" queryTableFieldId="44" dataDxfId="28">
      <calculatedColumnFormula>IF(df_arabica_clean[[#This Row],[Altitude]] &lt;= 2500, df_arabica_clean[[#This Row],[Altitude]], ROUND(df_arabica_clean[[#This Row],[Altitude]] / 3.281, 0))</calculatedColumnFormula>
    </tableColumn>
    <tableColumn id="46" xr3:uid="{432D5CE6-9675-4601-B247-EA4C792444C9}" uniqueName="46" name="Columna1" queryTableFieldId="45" dataDxfId="27">
      <calculatedColumnFormula>IF(df_arabica_clean[[#This Row],[Altitude]]&gt;2500,"Convertido","Original")</calculatedColumnFormula>
    </tableColumn>
    <tableColumn id="10" xr3:uid="{683ED40E-B945-40CB-A8C0-519FBD5428C4}" uniqueName="10" name="Region" queryTableFieldId="10" dataDxfId="26"/>
    <tableColumn id="11" xr3:uid="{0D9D8B43-0394-4C5F-9366-D36BEBB611B0}" uniqueName="11" name="Producer" queryTableFieldId="11" dataDxfId="25"/>
    <tableColumn id="12" xr3:uid="{E4A5B3C5-2950-40A8-A527-4643ED019209}" uniqueName="12" name="Number of Bags" queryTableFieldId="12"/>
    <tableColumn id="13" xr3:uid="{44E039DC-842E-4966-9B1C-FC8A0CABA2F5}" uniqueName="13" name="Bag Weight" queryTableFieldId="13" dataDxfId="24"/>
    <tableColumn id="14" xr3:uid="{D43623D3-896B-4F48-BD9F-941B9346996E}" uniqueName="14" name="In-Country Partner" queryTableFieldId="14" dataDxfId="23"/>
    <tableColumn id="15" xr3:uid="{01F0F8F9-F1BE-481E-A835-D020A2E9B960}" uniqueName="15" name="Harvest Year" queryTableFieldId="15" dataDxfId="22"/>
    <tableColumn id="16" xr3:uid="{051A3BC6-4BF2-4716-8BE5-8B4725807082}" uniqueName="16" name="Grading Date" queryTableFieldId="16" dataDxfId="21"/>
    <tableColumn id="17" xr3:uid="{D4BD8AB8-A847-41B2-BA90-431E8DCC515C}" uniqueName="17" name="Owner" queryTableFieldId="17" dataDxfId="20"/>
    <tableColumn id="18" xr3:uid="{A042C742-CB0A-4F16-B925-800E5886328A}" uniqueName="18" name="Variety" queryTableFieldId="18" dataDxfId="19"/>
    <tableColumn id="19" xr3:uid="{DCFBCE2D-2FC2-455A-8D2A-81E75940709F}" uniqueName="19" name="Status" queryTableFieldId="19" dataDxfId="18"/>
    <tableColumn id="20" xr3:uid="{D6114980-FAAE-4BF0-8924-F6797641B0EC}" uniqueName="20" name="Processing Method" queryTableFieldId="20" dataDxfId="17"/>
    <tableColumn id="21" xr3:uid="{442CB36C-CA2F-4E1E-AAE3-4BA75EA1115E}" uniqueName="21" name="Aroma" queryTableFieldId="21"/>
    <tableColumn id="22" xr3:uid="{1217652C-427E-4E6F-8F6B-2117D9592BDC}" uniqueName="22" name="Flavor" queryTableFieldId="22"/>
    <tableColumn id="23" xr3:uid="{AE7A7C4F-1FDE-400A-AED3-D2024C2097FB}" uniqueName="23" name="Aftertaste" queryTableFieldId="23"/>
    <tableColumn id="24" xr3:uid="{5352F6C4-BDE7-463B-86C2-851931E6974D}" uniqueName="24" name="Acidity" queryTableFieldId="24"/>
    <tableColumn id="25" xr3:uid="{4ACB2A6F-06ED-441A-AD93-97A6BCA111AC}" uniqueName="25" name="Body" queryTableFieldId="25"/>
    <tableColumn id="26" xr3:uid="{CB8FA24E-2AE8-4178-A27B-4DE0C2605557}" uniqueName="26" name="Balance" queryTableFieldId="26"/>
    <tableColumn id="27" xr3:uid="{DFE18C6A-EBA6-4E73-91C1-776041C31024}" uniqueName="27" name="Uniformity" queryTableFieldId="27"/>
    <tableColumn id="28" xr3:uid="{591AC91C-DF9D-4835-A625-D0AF2F084EFF}" uniqueName="28" name="Clean Cup" queryTableFieldId="28"/>
    <tableColumn id="29" xr3:uid="{5E2B8263-FA41-4839-93E3-785AE2B1318C}" uniqueName="29" name="Sweetness" queryTableFieldId="29"/>
    <tableColumn id="30" xr3:uid="{8D65AD86-941B-4A4A-A3A9-BB8E82576DBE}" uniqueName="30" name="Overall" queryTableFieldId="30"/>
    <tableColumn id="32" xr3:uid="{6FA4D25F-5FF3-48AE-B1F8-7374AAED92FA}" uniqueName="32" name="Total Cup Points" queryTableFieldId="32"/>
    <tableColumn id="33" xr3:uid="{EDAFBB29-E4C9-418D-AB3B-BF940B8581EA}" uniqueName="33" name="Moisture Percentage" queryTableFieldId="33"/>
    <tableColumn id="34" xr3:uid="{99CC727D-48B3-4AFD-A0C9-1FDA068909CD}" uniqueName="34" name="Category One Defects" queryTableFieldId="34"/>
    <tableColumn id="35" xr3:uid="{9D2B0DA9-4A3C-4817-B2F4-72237EEE2BBA}" uniqueName="35" name="Quakers" queryTableFieldId="35"/>
    <tableColumn id="36" xr3:uid="{1C001744-0887-47AB-8492-8E6E07A4319A}" uniqueName="36" name="Color" queryTableFieldId="36" dataDxfId="16"/>
    <tableColumn id="37" xr3:uid="{5A1B4C1D-9868-4497-9796-80F8E6B87E62}" uniqueName="37" name="Category Two Defects" queryTableFieldId="37"/>
    <tableColumn id="38" xr3:uid="{84F2D883-8E41-421C-8DBE-717C2D2EE6B8}" uniqueName="38" name="Expiration" queryTableFieldId="38" dataDxfId="15"/>
    <tableColumn id="39" xr3:uid="{B767F0B2-236A-4EFE-A689-D109C56C859B}" uniqueName="39" name="Certification Body" queryTableFieldId="39" dataDxfId="14"/>
    <tableColumn id="40" xr3:uid="{D994B406-3177-47BC-96DC-970027025BD5}" uniqueName="40" name="Certification Address" queryTableFieldId="40" dataDxfId="13"/>
    <tableColumn id="41" xr3:uid="{D5D38F1B-63F7-4B2F-9621-BF5F5B1CAC51}" uniqueName="41" name="Certification Contact" queryTableFieldId="41" dataDxfId="12"/>
    <tableColumn id="48" xr3:uid="{2915D136-5354-4980-9664-BFFF87968D2B}" uniqueName="48" name="Promedio_TotalCup" queryTableFieldId="47" dataDxfId="11">
      <calculatedColumnFormula>AVERAGEIF(df_arabica_clean[Country of Origin],df_arabica_clean[[#This Row],[Country of Origin]],df_arabica_clean[Total Cup Points])</calculatedColumnFormula>
    </tableColumn>
    <tableColumn id="49" xr3:uid="{5BBB0924-0A21-4A95-8E92-3EC85EF66A30}" uniqueName="49" name="Muestras" queryTableFieldId="48" dataDxfId="10">
      <calculatedColumnFormula>+COUNTIF(df_arabica_clean[Country of Origin],df_arabica_clean[[#This Row],[Country of Origin]])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E2E1DD-286B-44A2-AD1E-852AA416045C}" name="Tabla3" displayName="Tabla3" ref="A5:D15" totalsRowShown="0" headerRowDxfId="4">
  <autoFilter ref="A5:D15" xr:uid="{4DE2E1DD-286B-44A2-AD1E-852AA416045C}"/>
  <sortState xmlns:xlrd2="http://schemas.microsoft.com/office/spreadsheetml/2017/richdata2" ref="A6:D15">
    <sortCondition ref="A6:A15"/>
  </sortState>
  <tableColumns count="4">
    <tableColumn id="1" xr3:uid="{5B491724-1C92-47BD-BB72-1714032C2E8E}" name="Ranking" dataDxfId="3"/>
    <tableColumn id="2" xr3:uid="{72454B87-BE55-4848-9BBC-F7F7EABC13C2}" name="Pais" dataDxfId="2">
      <calculatedColumnFormula>VLOOKUP('Tablas_Dinamicas '!B4,'Tablas_Dinamicas '!B3:D13,1,0)</calculatedColumnFormula>
    </tableColumn>
    <tableColumn id="3" xr3:uid="{39B8CF14-6D16-44B5-9417-54EAFE6FE961}" name="Promedio_Cup" dataDxfId="1">
      <calculatedColumnFormula>'Tablas_Dinamicas '!C4</calculatedColumnFormula>
    </tableColumn>
    <tableColumn id="4" xr3:uid="{205A572B-AEBF-49FB-9185-1C9748AF80BE}" name="Muestras" dataDxfId="0">
      <calculatedColumnFormula>'Tablas_Dinamicas '!D4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4193D-DEB7-4CCA-981A-376A9BB5B57D}">
  <dimension ref="A1:AQ208"/>
  <sheetViews>
    <sheetView tabSelected="1" topLeftCell="F1" workbookViewId="0">
      <selection activeCell="I3" sqref="I3"/>
    </sheetView>
  </sheetViews>
  <sheetFormatPr baseColWidth="10" defaultRowHeight="15" x14ac:dyDescent="0.25"/>
  <cols>
    <col min="2" max="2" width="5.28515625" bestFit="1" customWidth="1"/>
    <col min="3" max="3" width="26.85546875" bestFit="1" customWidth="1"/>
    <col min="4" max="4" width="81.140625" bestFit="1" customWidth="1"/>
    <col min="5" max="5" width="56.140625" bestFit="1" customWidth="1"/>
    <col min="6" max="6" width="81.140625" bestFit="1" customWidth="1"/>
    <col min="7" max="7" width="35.85546875" bestFit="1" customWidth="1"/>
    <col min="8" max="8" width="10.5703125" bestFit="1" customWidth="1"/>
    <col min="9" max="9" width="16.140625" bestFit="1" customWidth="1"/>
    <col min="10" max="10" width="12.42578125" bestFit="1" customWidth="1"/>
    <col min="11" max="11" width="61" bestFit="1" customWidth="1"/>
    <col min="12" max="12" width="49.7109375" bestFit="1" customWidth="1"/>
    <col min="13" max="13" width="17.42578125" bestFit="1" customWidth="1"/>
    <col min="14" max="14" width="13.28515625" bestFit="1" customWidth="1"/>
    <col min="15" max="15" width="58.7109375" bestFit="1" customWidth="1"/>
    <col min="16" max="16" width="14.7109375" bestFit="1" customWidth="1"/>
    <col min="17" max="17" width="19.7109375" bestFit="1" customWidth="1"/>
    <col min="18" max="18" width="52.42578125" bestFit="1" customWidth="1"/>
    <col min="19" max="19" width="60.85546875" bestFit="1" customWidth="1"/>
    <col min="20" max="20" width="10.42578125" bestFit="1" customWidth="1"/>
    <col min="21" max="21" width="35" bestFit="1" customWidth="1"/>
    <col min="22" max="22" width="9" bestFit="1" customWidth="1"/>
    <col min="23" max="23" width="8.7109375" bestFit="1" customWidth="1"/>
    <col min="24" max="24" width="12.28515625" bestFit="1" customWidth="1"/>
    <col min="25" max="25" width="9.42578125" bestFit="1" customWidth="1"/>
    <col min="26" max="26" width="7.7109375" bestFit="1" customWidth="1"/>
    <col min="27" max="27" width="10.28515625" bestFit="1" customWidth="1"/>
    <col min="28" max="28" width="12.85546875" bestFit="1" customWidth="1"/>
    <col min="29" max="29" width="12.7109375" bestFit="1" customWidth="1"/>
    <col min="30" max="30" width="13.140625" bestFit="1" customWidth="1"/>
    <col min="31" max="31" width="9.7109375" bestFit="1" customWidth="1"/>
    <col min="32" max="32" width="18" bestFit="1" customWidth="1"/>
    <col min="33" max="33" width="22" bestFit="1" customWidth="1"/>
    <col min="34" max="34" width="23.28515625" bestFit="1" customWidth="1"/>
    <col min="35" max="35" width="10.7109375" bestFit="1" customWidth="1"/>
    <col min="36" max="36" width="13.7109375" bestFit="1" customWidth="1"/>
    <col min="37" max="37" width="23.140625" bestFit="1" customWidth="1"/>
    <col min="38" max="38" width="19.7109375" bestFit="1" customWidth="1"/>
    <col min="39" max="39" width="58.7109375" bestFit="1" customWidth="1"/>
    <col min="40" max="40" width="81.140625" bestFit="1" customWidth="1"/>
    <col min="41" max="41" width="62" bestFit="1" customWidth="1"/>
    <col min="42" max="42" width="21.140625" bestFit="1" customWidth="1"/>
    <col min="43" max="43" width="11.5703125" bestFit="1" customWidth="1"/>
    <col min="44" max="44" width="14.5703125" bestFit="1" customWidth="1"/>
  </cols>
  <sheetData>
    <row r="1" spans="1:43" x14ac:dyDescent="0.25">
      <c r="A1" t="s">
        <v>0</v>
      </c>
      <c r="B1" t="s">
        <v>1</v>
      </c>
      <c r="C1" t="s">
        <v>2</v>
      </c>
      <c r="D1" t="s">
        <v>3</v>
      </c>
      <c r="E1" t="s">
        <v>4</v>
      </c>
      <c r="F1" t="s">
        <v>5</v>
      </c>
      <c r="G1" t="s">
        <v>6</v>
      </c>
      <c r="H1" t="s">
        <v>7</v>
      </c>
      <c r="I1" t="s">
        <v>1231</v>
      </c>
      <c r="J1" t="s">
        <v>1232</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1234</v>
      </c>
      <c r="AQ1" t="s">
        <v>1235</v>
      </c>
    </row>
    <row r="2" spans="1:43" hidden="1" x14ac:dyDescent="0.25">
      <c r="A2">
        <v>182</v>
      </c>
      <c r="B2">
        <v>182</v>
      </c>
      <c r="C2" s="1" t="s">
        <v>541</v>
      </c>
      <c r="D2" s="1" t="s">
        <v>1113</v>
      </c>
      <c r="E2" s="1" t="s">
        <v>1114</v>
      </c>
      <c r="F2" s="1" t="s">
        <v>1115</v>
      </c>
      <c r="G2" s="1" t="s">
        <v>1116</v>
      </c>
      <c r="H2" s="1">
        <v>5400</v>
      </c>
      <c r="I2" s="1">
        <f>IF(df_arabica_clean[[#This Row],[Altitude]] &lt;= 2500, df_arabica_clean[[#This Row],[Altitude]], ROUND(df_arabica_clean[[#This Row],[Altitude]] / 3.281, 0))</f>
        <v>1646</v>
      </c>
      <c r="J2" s="1" t="str">
        <f>IF(df_arabica_clean[[#This Row],[Altitude]]&gt;2500,"Convertido","Original")</f>
        <v>Convertido</v>
      </c>
      <c r="K2" s="1" t="s">
        <v>1117</v>
      </c>
      <c r="L2" s="1" t="s">
        <v>1118</v>
      </c>
      <c r="M2">
        <v>1</v>
      </c>
      <c r="N2" s="1" t="s">
        <v>214</v>
      </c>
      <c r="O2" s="1" t="s">
        <v>1119</v>
      </c>
      <c r="P2" s="1" t="s">
        <v>134</v>
      </c>
      <c r="Q2" s="1" t="s">
        <v>1120</v>
      </c>
      <c r="R2" s="1" t="s">
        <v>1121</v>
      </c>
      <c r="S2" s="1" t="s">
        <v>243</v>
      </c>
      <c r="T2" s="1" t="s">
        <v>51</v>
      </c>
      <c r="U2" s="1" t="s">
        <v>188</v>
      </c>
      <c r="V2">
        <v>7.5</v>
      </c>
      <c r="W2">
        <v>7.5</v>
      </c>
      <c r="X2">
        <v>7.25</v>
      </c>
      <c r="Y2">
        <v>7.42</v>
      </c>
      <c r="Z2">
        <v>7.42</v>
      </c>
      <c r="AA2">
        <v>7.42</v>
      </c>
      <c r="AB2">
        <v>10</v>
      </c>
      <c r="AC2">
        <v>10</v>
      </c>
      <c r="AD2">
        <v>10</v>
      </c>
      <c r="AE2">
        <v>7.33</v>
      </c>
      <c r="AF2">
        <v>81.83</v>
      </c>
      <c r="AG2">
        <v>11.2</v>
      </c>
      <c r="AH2">
        <v>0</v>
      </c>
      <c r="AI2">
        <v>0</v>
      </c>
      <c r="AJ2" s="1" t="s">
        <v>53</v>
      </c>
      <c r="AK2">
        <v>4</v>
      </c>
      <c r="AL2" s="1" t="s">
        <v>1122</v>
      </c>
      <c r="AM2" s="1" t="s">
        <v>1119</v>
      </c>
      <c r="AN2" s="1" t="s">
        <v>1123</v>
      </c>
      <c r="AO2" s="1" t="s">
        <v>1124</v>
      </c>
      <c r="AP2" s="4">
        <f>AVERAGEIF(df_arabica_clean[Country of Origin],df_arabica_clean[[#This Row],[Country of Origin]],df_arabica_clean[Total Cup Points])</f>
        <v>82.892499999999998</v>
      </c>
      <c r="AQ2" s="1">
        <f>+COUNTIF(df_arabica_clean[Country of Origin],df_arabica_clean[[#This Row],[Country of Origin]])</f>
        <v>4</v>
      </c>
    </row>
    <row r="3" spans="1:43" x14ac:dyDescent="0.25">
      <c r="A3">
        <v>60</v>
      </c>
      <c r="B3">
        <v>60</v>
      </c>
      <c r="C3" s="1" t="s">
        <v>100</v>
      </c>
      <c r="D3" s="1" t="s">
        <v>495</v>
      </c>
      <c r="E3" s="1" t="s">
        <v>496</v>
      </c>
      <c r="F3" s="1" t="s">
        <v>497</v>
      </c>
      <c r="G3" s="1" t="s">
        <v>498</v>
      </c>
      <c r="H3" s="1">
        <v>4895</v>
      </c>
      <c r="I3" s="1">
        <f>IF(df_arabica_clean[[#This Row],[Altitude]] &lt;= 2500, df_arabica_clean[[#This Row],[Altitude]], ROUND(df_arabica_clean[[#This Row],[Altitude]] / 3.281, 0))</f>
        <v>1492</v>
      </c>
      <c r="J3" s="1" t="str">
        <f>IF(df_arabica_clean[[#This Row],[Altitude]]&gt;2500,"Convertido","Original")</f>
        <v>Convertido</v>
      </c>
      <c r="K3" s="1" t="s">
        <v>499</v>
      </c>
      <c r="L3" s="1" t="s">
        <v>498</v>
      </c>
      <c r="M3">
        <v>66</v>
      </c>
      <c r="N3" s="1" t="s">
        <v>106</v>
      </c>
      <c r="O3" s="1" t="s">
        <v>396</v>
      </c>
      <c r="P3" s="1" t="s">
        <v>48</v>
      </c>
      <c r="Q3" s="1" t="s">
        <v>500</v>
      </c>
      <c r="R3" s="1" t="s">
        <v>417</v>
      </c>
      <c r="S3" s="1" t="s">
        <v>137</v>
      </c>
      <c r="T3" s="1" t="s">
        <v>51</v>
      </c>
      <c r="U3" s="1" t="s">
        <v>118</v>
      </c>
      <c r="V3">
        <v>7.83</v>
      </c>
      <c r="W3">
        <v>8</v>
      </c>
      <c r="X3">
        <v>7.67</v>
      </c>
      <c r="Y3">
        <v>7.83</v>
      </c>
      <c r="Z3">
        <v>7.75</v>
      </c>
      <c r="AA3">
        <v>7.75</v>
      </c>
      <c r="AB3">
        <v>10</v>
      </c>
      <c r="AC3">
        <v>10</v>
      </c>
      <c r="AD3">
        <v>10</v>
      </c>
      <c r="AE3">
        <v>7.83</v>
      </c>
      <c r="AF3">
        <v>84.67</v>
      </c>
      <c r="AG3">
        <v>10.9</v>
      </c>
      <c r="AH3">
        <v>0</v>
      </c>
      <c r="AI3">
        <v>3</v>
      </c>
      <c r="AJ3" s="1" t="s">
        <v>98</v>
      </c>
      <c r="AK3">
        <v>2</v>
      </c>
      <c r="AL3" s="1" t="s">
        <v>501</v>
      </c>
      <c r="AM3" s="1" t="s">
        <v>396</v>
      </c>
      <c r="AN3" s="1" t="s">
        <v>400</v>
      </c>
      <c r="AO3" s="1" t="s">
        <v>401</v>
      </c>
      <c r="AP3" s="5">
        <f>AVERAGEIF(df_arabica_clean[Country of Origin],df_arabica_clean[[#This Row],[Country of Origin]],df_arabica_clean[Total Cup Points])</f>
        <v>84.301428571428573</v>
      </c>
      <c r="AQ3" s="1">
        <f>+COUNTIF(df_arabica_clean[Country of Origin],df_arabica_clean[[#This Row],[Country of Origin]])</f>
        <v>21</v>
      </c>
    </row>
    <row r="4" spans="1:43" x14ac:dyDescent="0.25">
      <c r="A4">
        <v>205</v>
      </c>
      <c r="B4">
        <v>205</v>
      </c>
      <c r="C4" s="1" t="s">
        <v>596</v>
      </c>
      <c r="D4" s="1" t="s">
        <v>1223</v>
      </c>
      <c r="E4" s="1" t="s">
        <v>1224</v>
      </c>
      <c r="F4" s="1" t="s">
        <v>1176</v>
      </c>
      <c r="G4" s="1" t="s">
        <v>1177</v>
      </c>
      <c r="H4" s="1">
        <v>1200</v>
      </c>
      <c r="I4" s="1">
        <f>IF(df_arabica_clean[[#This Row],[Altitude]] &lt;= 2500, df_arabica_clean[[#This Row],[Altitude]], ROUND(df_arabica_clean[[#This Row],[Altitude]] / 3.281, 0))</f>
        <v>1200</v>
      </c>
      <c r="J4" s="1" t="str">
        <f>IF(df_arabica_clean[[#This Row],[Altitude]]&gt;2500,"Convertido","Original")</f>
        <v>Original</v>
      </c>
      <c r="K4" s="1" t="s">
        <v>1225</v>
      </c>
      <c r="L4" s="1" t="s">
        <v>1179</v>
      </c>
      <c r="M4">
        <v>1</v>
      </c>
      <c r="N4" s="1" t="s">
        <v>202</v>
      </c>
      <c r="O4" s="1" t="s">
        <v>1001</v>
      </c>
      <c r="P4" s="1" t="s">
        <v>1180</v>
      </c>
      <c r="Q4" s="1" t="s">
        <v>1181</v>
      </c>
      <c r="R4" s="1" t="s">
        <v>1179</v>
      </c>
      <c r="S4" s="1" t="s">
        <v>1022</v>
      </c>
      <c r="T4" s="1" t="s">
        <v>51</v>
      </c>
      <c r="U4" s="1" t="s">
        <v>118</v>
      </c>
      <c r="V4">
        <v>6.5</v>
      </c>
      <c r="W4">
        <v>6.75</v>
      </c>
      <c r="X4">
        <v>6.75</v>
      </c>
      <c r="Y4">
        <v>7.17</v>
      </c>
      <c r="Z4">
        <v>7.08</v>
      </c>
      <c r="AA4">
        <v>7</v>
      </c>
      <c r="AB4">
        <v>10</v>
      </c>
      <c r="AC4">
        <v>10</v>
      </c>
      <c r="AD4">
        <v>10</v>
      </c>
      <c r="AE4">
        <v>6.83</v>
      </c>
      <c r="AF4">
        <v>78.08</v>
      </c>
      <c r="AG4">
        <v>11</v>
      </c>
      <c r="AH4">
        <v>0</v>
      </c>
      <c r="AI4">
        <v>12</v>
      </c>
      <c r="AJ4" s="1" t="s">
        <v>257</v>
      </c>
      <c r="AK4">
        <v>13</v>
      </c>
      <c r="AL4" s="1" t="s">
        <v>1182</v>
      </c>
      <c r="AM4" s="1" t="s">
        <v>1001</v>
      </c>
      <c r="AN4" s="1" t="s">
        <v>1004</v>
      </c>
      <c r="AO4" s="1" t="s">
        <v>1005</v>
      </c>
      <c r="AP4" s="5">
        <f>AVERAGEIF(df_arabica_clean[Country of Origin],df_arabica_clean[[#This Row],[Country of Origin]],df_arabica_clean[Total Cup Points])</f>
        <v>81.532857142857139</v>
      </c>
      <c r="AQ4" s="1">
        <f>+COUNTIF(df_arabica_clean[Country of Origin],df_arabica_clean[[#This Row],[Country of Origin]])</f>
        <v>7</v>
      </c>
    </row>
    <row r="5" spans="1:43" x14ac:dyDescent="0.25">
      <c r="A5">
        <v>166</v>
      </c>
      <c r="B5">
        <v>166</v>
      </c>
      <c r="C5" s="1" t="s">
        <v>596</v>
      </c>
      <c r="D5" s="1" t="s">
        <v>996</v>
      </c>
      <c r="E5" s="1" t="s">
        <v>1046</v>
      </c>
      <c r="F5" s="1" t="s">
        <v>996</v>
      </c>
      <c r="G5" s="1" t="s">
        <v>998</v>
      </c>
      <c r="H5" s="1">
        <v>1200</v>
      </c>
      <c r="I5" s="1">
        <f>IF(df_arabica_clean[[#This Row],[Altitude]] &lt;= 2500, df_arabica_clean[[#This Row],[Altitude]], ROUND(df_arabica_clean[[#This Row],[Altitude]] / 3.281, 0))</f>
        <v>1200</v>
      </c>
      <c r="J5" s="1" t="str">
        <f>IF(df_arabica_clean[[#This Row],[Altitude]]&gt;2500,"Convertido","Original")</f>
        <v>Original</v>
      </c>
      <c r="K5" s="1" t="s">
        <v>999</v>
      </c>
      <c r="L5" s="1" t="s">
        <v>1000</v>
      </c>
      <c r="M5">
        <v>275</v>
      </c>
      <c r="N5" s="1" t="s">
        <v>415</v>
      </c>
      <c r="O5" s="1" t="s">
        <v>1001</v>
      </c>
      <c r="P5" s="1" t="s">
        <v>48</v>
      </c>
      <c r="Q5" s="1" t="s">
        <v>818</v>
      </c>
      <c r="R5" s="1" t="s">
        <v>998</v>
      </c>
      <c r="S5" s="1" t="s">
        <v>137</v>
      </c>
      <c r="T5" s="1" t="s">
        <v>51</v>
      </c>
      <c r="U5" s="1" t="s">
        <v>67</v>
      </c>
      <c r="V5">
        <v>7.33</v>
      </c>
      <c r="W5">
        <v>7.67</v>
      </c>
      <c r="X5">
        <v>7.25</v>
      </c>
      <c r="Y5">
        <v>7.67</v>
      </c>
      <c r="Z5">
        <v>7.83</v>
      </c>
      <c r="AA5">
        <v>7.42</v>
      </c>
      <c r="AB5">
        <v>10</v>
      </c>
      <c r="AC5">
        <v>10</v>
      </c>
      <c r="AD5">
        <v>10</v>
      </c>
      <c r="AE5">
        <v>7.17</v>
      </c>
      <c r="AF5">
        <v>82.33</v>
      </c>
      <c r="AG5">
        <v>11.8</v>
      </c>
      <c r="AH5">
        <v>0</v>
      </c>
      <c r="AI5">
        <v>0</v>
      </c>
      <c r="AJ5" s="1" t="s">
        <v>257</v>
      </c>
      <c r="AK5">
        <v>0</v>
      </c>
      <c r="AL5" s="1" t="s">
        <v>820</v>
      </c>
      <c r="AM5" s="1" t="s">
        <v>1001</v>
      </c>
      <c r="AN5" s="1" t="s">
        <v>1004</v>
      </c>
      <c r="AO5" s="1" t="s">
        <v>1005</v>
      </c>
      <c r="AP5" s="5">
        <f>AVERAGEIF(df_arabica_clean[Country of Origin],df_arabica_clean[[#This Row],[Country of Origin]],df_arabica_clean[Total Cup Points])</f>
        <v>81.532857142857139</v>
      </c>
      <c r="AQ5" s="1">
        <f>+COUNTIF(df_arabica_clean[Country of Origin],df_arabica_clean[[#This Row],[Country of Origin]])</f>
        <v>7</v>
      </c>
    </row>
    <row r="6" spans="1:43" hidden="1" x14ac:dyDescent="0.25">
      <c r="A6">
        <v>76</v>
      </c>
      <c r="B6">
        <v>76</v>
      </c>
      <c r="C6" s="1" t="s">
        <v>141</v>
      </c>
      <c r="D6" s="1" t="s">
        <v>589</v>
      </c>
      <c r="E6" s="1" t="s">
        <v>313</v>
      </c>
      <c r="F6" s="1" t="s">
        <v>590</v>
      </c>
      <c r="G6" s="1" t="s">
        <v>591</v>
      </c>
      <c r="H6" s="1">
        <v>2361</v>
      </c>
      <c r="I6" s="1">
        <f>IF(df_arabica_clean[[#This Row],[Altitude]] &lt;= 2500, df_arabica_clean[[#This Row],[Altitude]], ROUND(df_arabica_clean[[#This Row],[Altitude]] / 3.281, 0))</f>
        <v>2361</v>
      </c>
      <c r="J6" s="1" t="str">
        <f>IF(df_arabica_clean[[#This Row],[Altitude]]&gt;2500,"Convertido","Original")</f>
        <v>Original</v>
      </c>
      <c r="K6" s="1" t="s">
        <v>592</v>
      </c>
      <c r="L6" s="1" t="s">
        <v>317</v>
      </c>
      <c r="M6">
        <v>320</v>
      </c>
      <c r="N6" s="1" t="s">
        <v>132</v>
      </c>
      <c r="O6" s="1" t="s">
        <v>172</v>
      </c>
      <c r="P6" s="1" t="s">
        <v>48</v>
      </c>
      <c r="Q6" s="1" t="s">
        <v>593</v>
      </c>
      <c r="R6" s="1" t="s">
        <v>594</v>
      </c>
      <c r="S6" s="1" t="s">
        <v>150</v>
      </c>
      <c r="T6" s="1" t="s">
        <v>51</v>
      </c>
      <c r="U6" s="1" t="s">
        <v>118</v>
      </c>
      <c r="V6">
        <v>7.83</v>
      </c>
      <c r="W6">
        <v>7.75</v>
      </c>
      <c r="X6">
        <v>7.58</v>
      </c>
      <c r="Y6">
        <v>7.92</v>
      </c>
      <c r="Z6">
        <v>8</v>
      </c>
      <c r="AA6">
        <v>7.5</v>
      </c>
      <c r="AB6">
        <v>10</v>
      </c>
      <c r="AC6">
        <v>10</v>
      </c>
      <c r="AD6">
        <v>10</v>
      </c>
      <c r="AE6">
        <v>7.75</v>
      </c>
      <c r="AF6">
        <v>84.33</v>
      </c>
      <c r="AG6">
        <v>11</v>
      </c>
      <c r="AH6">
        <v>0</v>
      </c>
      <c r="AI6">
        <v>5</v>
      </c>
      <c r="AJ6" s="1" t="s">
        <v>119</v>
      </c>
      <c r="AK6">
        <v>4</v>
      </c>
      <c r="AL6" s="1" t="s">
        <v>595</v>
      </c>
      <c r="AM6" s="1" t="s">
        <v>172</v>
      </c>
      <c r="AN6" s="1" t="s">
        <v>177</v>
      </c>
      <c r="AO6" s="1" t="s">
        <v>178</v>
      </c>
      <c r="AP6" s="4">
        <f>AVERAGEIF(df_arabica_clean[Country of Origin],df_arabica_clean[[#This Row],[Country of Origin]],df_arabica_clean[Total Cup Points])</f>
        <v>84.960909090909084</v>
      </c>
      <c r="AQ6" s="1">
        <f>+COUNTIF(df_arabica_clean[Country of Origin],df_arabica_clean[[#This Row],[Country of Origin]])</f>
        <v>11</v>
      </c>
    </row>
    <row r="7" spans="1:43" hidden="1" x14ac:dyDescent="0.25">
      <c r="A7">
        <v>34</v>
      </c>
      <c r="B7">
        <v>34</v>
      </c>
      <c r="C7" s="1" t="s">
        <v>141</v>
      </c>
      <c r="D7" s="1" t="s">
        <v>312</v>
      </c>
      <c r="E7" s="1" t="s">
        <v>313</v>
      </c>
      <c r="F7" s="1" t="s">
        <v>314</v>
      </c>
      <c r="G7" s="1" t="s">
        <v>315</v>
      </c>
      <c r="H7" s="1">
        <v>2150</v>
      </c>
      <c r="I7" s="1">
        <f>IF(df_arabica_clean[[#This Row],[Altitude]] &lt;= 2500, df_arabica_clean[[#This Row],[Altitude]], ROUND(df_arabica_clean[[#This Row],[Altitude]] / 3.281, 0))</f>
        <v>2150</v>
      </c>
      <c r="J7" s="1" t="str">
        <f>IF(df_arabica_clean[[#This Row],[Altitude]]&gt;2500,"Convertido","Original")</f>
        <v>Original</v>
      </c>
      <c r="K7" s="1" t="s">
        <v>316</v>
      </c>
      <c r="L7" s="1" t="s">
        <v>317</v>
      </c>
      <c r="M7">
        <v>320</v>
      </c>
      <c r="N7" s="1" t="s">
        <v>132</v>
      </c>
      <c r="O7" s="1" t="s">
        <v>172</v>
      </c>
      <c r="P7" s="1" t="s">
        <v>48</v>
      </c>
      <c r="Q7" s="1" t="s">
        <v>318</v>
      </c>
      <c r="R7" s="1" t="s">
        <v>319</v>
      </c>
      <c r="S7" s="1" t="s">
        <v>150</v>
      </c>
      <c r="T7" s="1" t="s">
        <v>51</v>
      </c>
      <c r="U7" s="1" t="s">
        <v>118</v>
      </c>
      <c r="V7">
        <v>8</v>
      </c>
      <c r="W7">
        <v>8.08</v>
      </c>
      <c r="X7">
        <v>8</v>
      </c>
      <c r="Y7">
        <v>8</v>
      </c>
      <c r="Z7">
        <v>7.67</v>
      </c>
      <c r="AA7">
        <v>7.75</v>
      </c>
      <c r="AB7">
        <v>10</v>
      </c>
      <c r="AC7">
        <v>10</v>
      </c>
      <c r="AD7">
        <v>10</v>
      </c>
      <c r="AE7">
        <v>7.83</v>
      </c>
      <c r="AF7">
        <v>85.33</v>
      </c>
      <c r="AG7">
        <v>12.3</v>
      </c>
      <c r="AH7">
        <v>0</v>
      </c>
      <c r="AI7">
        <v>3</v>
      </c>
      <c r="AJ7" s="1" t="s">
        <v>119</v>
      </c>
      <c r="AK7">
        <v>4</v>
      </c>
      <c r="AL7" s="1" t="s">
        <v>320</v>
      </c>
      <c r="AM7" s="1" t="s">
        <v>172</v>
      </c>
      <c r="AN7" s="1" t="s">
        <v>177</v>
      </c>
      <c r="AO7" s="1" t="s">
        <v>178</v>
      </c>
      <c r="AP7" s="4">
        <f>AVERAGEIF(df_arabica_clean[Country of Origin],df_arabica_clean[[#This Row],[Country of Origin]],df_arabica_clean[Total Cup Points])</f>
        <v>84.960909090909084</v>
      </c>
      <c r="AQ7" s="1">
        <f>+COUNTIF(df_arabica_clean[Country of Origin],df_arabica_clean[[#This Row],[Country of Origin]])</f>
        <v>11</v>
      </c>
    </row>
    <row r="8" spans="1:43" x14ac:dyDescent="0.25">
      <c r="A8">
        <v>165</v>
      </c>
      <c r="B8">
        <v>165</v>
      </c>
      <c r="C8" s="1" t="s">
        <v>596</v>
      </c>
      <c r="D8" s="1" t="s">
        <v>996</v>
      </c>
      <c r="E8" s="1" t="s">
        <v>997</v>
      </c>
      <c r="F8" s="1" t="s">
        <v>996</v>
      </c>
      <c r="G8" s="1" t="s">
        <v>998</v>
      </c>
      <c r="H8" s="1">
        <v>1200</v>
      </c>
      <c r="I8" s="1">
        <f>IF(df_arabica_clean[[#This Row],[Altitude]] &lt;= 2500, df_arabica_clean[[#This Row],[Altitude]], ROUND(df_arabica_clean[[#This Row],[Altitude]] / 3.281, 0))</f>
        <v>1200</v>
      </c>
      <c r="J8" s="1" t="str">
        <f>IF(df_arabica_clean[[#This Row],[Altitude]]&gt;2500,"Convertido","Original")</f>
        <v>Original</v>
      </c>
      <c r="K8" s="1" t="s">
        <v>999</v>
      </c>
      <c r="L8" s="1" t="s">
        <v>1000</v>
      </c>
      <c r="M8">
        <v>600</v>
      </c>
      <c r="N8" s="1" t="s">
        <v>106</v>
      </c>
      <c r="O8" s="1" t="s">
        <v>1001</v>
      </c>
      <c r="P8" s="1" t="s">
        <v>134</v>
      </c>
      <c r="Q8" s="1" t="s">
        <v>1044</v>
      </c>
      <c r="R8" s="1" t="s">
        <v>998</v>
      </c>
      <c r="S8" s="1" t="s">
        <v>137</v>
      </c>
      <c r="T8" s="1" t="s">
        <v>51</v>
      </c>
      <c r="U8" s="1" t="s">
        <v>67</v>
      </c>
      <c r="V8">
        <v>7.5</v>
      </c>
      <c r="W8">
        <v>7.5</v>
      </c>
      <c r="X8">
        <v>7.42</v>
      </c>
      <c r="Y8">
        <v>7.42</v>
      </c>
      <c r="Z8">
        <v>7.42</v>
      </c>
      <c r="AA8">
        <v>7.67</v>
      </c>
      <c r="AB8">
        <v>10</v>
      </c>
      <c r="AC8">
        <v>10</v>
      </c>
      <c r="AD8">
        <v>10</v>
      </c>
      <c r="AE8">
        <v>7.42</v>
      </c>
      <c r="AF8">
        <v>82.33</v>
      </c>
      <c r="AG8">
        <v>12</v>
      </c>
      <c r="AH8">
        <v>0</v>
      </c>
      <c r="AI8">
        <v>7</v>
      </c>
      <c r="AJ8" s="1" t="s">
        <v>53</v>
      </c>
      <c r="AK8">
        <v>10</v>
      </c>
      <c r="AL8" s="1" t="s">
        <v>1045</v>
      </c>
      <c r="AM8" s="1" t="s">
        <v>1001</v>
      </c>
      <c r="AN8" s="1" t="s">
        <v>1004</v>
      </c>
      <c r="AO8" s="1" t="s">
        <v>1005</v>
      </c>
      <c r="AP8" s="5">
        <f>AVERAGEIF(df_arabica_clean[Country of Origin],df_arabica_clean[[#This Row],[Country of Origin]],df_arabica_clean[Total Cup Points])</f>
        <v>81.532857142857139</v>
      </c>
      <c r="AQ8" s="1">
        <f>+COUNTIF(df_arabica_clean[Country of Origin],df_arabica_clean[[#This Row],[Country of Origin]])</f>
        <v>7</v>
      </c>
    </row>
    <row r="9" spans="1:43" x14ac:dyDescent="0.25">
      <c r="A9">
        <v>156</v>
      </c>
      <c r="B9">
        <v>156</v>
      </c>
      <c r="C9" s="1" t="s">
        <v>596</v>
      </c>
      <c r="D9" s="1" t="s">
        <v>996</v>
      </c>
      <c r="E9" s="1" t="s">
        <v>997</v>
      </c>
      <c r="F9" s="1" t="s">
        <v>996</v>
      </c>
      <c r="G9" s="1" t="s">
        <v>998</v>
      </c>
      <c r="H9" s="1">
        <v>1200</v>
      </c>
      <c r="I9" s="1">
        <f>IF(df_arabica_clean[[#This Row],[Altitude]] &lt;= 2500, df_arabica_clean[[#This Row],[Altitude]], ROUND(df_arabica_clean[[#This Row],[Altitude]] / 3.281, 0))</f>
        <v>1200</v>
      </c>
      <c r="J9" s="1" t="str">
        <f>IF(df_arabica_clean[[#This Row],[Altitude]]&gt;2500,"Convertido","Original")</f>
        <v>Original</v>
      </c>
      <c r="K9" s="1" t="s">
        <v>999</v>
      </c>
      <c r="L9" s="1" t="s">
        <v>1000</v>
      </c>
      <c r="M9">
        <v>600</v>
      </c>
      <c r="N9" s="1" t="s">
        <v>106</v>
      </c>
      <c r="O9" s="1" t="s">
        <v>1001</v>
      </c>
      <c r="P9" s="1" t="s">
        <v>134</v>
      </c>
      <c r="Q9" s="1" t="s">
        <v>1002</v>
      </c>
      <c r="R9" s="1" t="s">
        <v>998</v>
      </c>
      <c r="S9" s="1" t="s">
        <v>137</v>
      </c>
      <c r="T9" s="1" t="s">
        <v>51</v>
      </c>
      <c r="U9" s="1" t="s">
        <v>67</v>
      </c>
      <c r="V9">
        <v>7.67</v>
      </c>
      <c r="W9">
        <v>7.33</v>
      </c>
      <c r="X9">
        <v>7.17</v>
      </c>
      <c r="Y9">
        <v>7.67</v>
      </c>
      <c r="Z9">
        <v>7.83</v>
      </c>
      <c r="AA9">
        <v>7.5</v>
      </c>
      <c r="AB9">
        <v>10</v>
      </c>
      <c r="AC9">
        <v>10</v>
      </c>
      <c r="AD9">
        <v>10</v>
      </c>
      <c r="AE9">
        <v>7.33</v>
      </c>
      <c r="AF9">
        <v>82.5</v>
      </c>
      <c r="AG9">
        <v>11.3</v>
      </c>
      <c r="AH9">
        <v>0</v>
      </c>
      <c r="AI9">
        <v>0</v>
      </c>
      <c r="AJ9" s="1" t="s">
        <v>53</v>
      </c>
      <c r="AK9">
        <v>2</v>
      </c>
      <c r="AL9" s="1" t="s">
        <v>1003</v>
      </c>
      <c r="AM9" s="1" t="s">
        <v>1001</v>
      </c>
      <c r="AN9" s="1" t="s">
        <v>1004</v>
      </c>
      <c r="AO9" s="1" t="s">
        <v>1005</v>
      </c>
      <c r="AP9" s="5">
        <f>AVERAGEIF(df_arabica_clean[Country of Origin],df_arabica_clean[[#This Row],[Country of Origin]],df_arabica_clean[Total Cup Points])</f>
        <v>81.532857142857139</v>
      </c>
      <c r="AQ9" s="1">
        <f>+COUNTIF(df_arabica_clean[Country of Origin],df_arabica_clean[[#This Row],[Country of Origin]])</f>
        <v>7</v>
      </c>
    </row>
    <row r="10" spans="1:43" hidden="1" x14ac:dyDescent="0.25">
      <c r="A10">
        <v>100</v>
      </c>
      <c r="B10">
        <v>100</v>
      </c>
      <c r="C10" s="1" t="s">
        <v>141</v>
      </c>
      <c r="D10" s="1" t="s">
        <v>713</v>
      </c>
      <c r="E10" s="1" t="s">
        <v>235</v>
      </c>
      <c r="F10" s="1" t="s">
        <v>714</v>
      </c>
      <c r="G10" s="1" t="s">
        <v>715</v>
      </c>
      <c r="H10" s="1">
        <v>2000</v>
      </c>
      <c r="I10" s="1">
        <f>IF(df_arabica_clean[[#This Row],[Altitude]] &lt;= 2500, df_arabica_clean[[#This Row],[Altitude]], ROUND(df_arabica_clean[[#This Row],[Altitude]] / 3.281, 0))</f>
        <v>2000</v>
      </c>
      <c r="J10" s="1" t="str">
        <f>IF(df_arabica_clean[[#This Row],[Altitude]]&gt;2500,"Convertido","Original")</f>
        <v>Original</v>
      </c>
      <c r="K10" s="1" t="s">
        <v>667</v>
      </c>
      <c r="L10" s="1" t="s">
        <v>714</v>
      </c>
      <c r="M10">
        <v>100</v>
      </c>
      <c r="N10" s="1" t="s">
        <v>132</v>
      </c>
      <c r="O10" s="1" t="s">
        <v>133</v>
      </c>
      <c r="P10" s="1" t="s">
        <v>48</v>
      </c>
      <c r="Q10" s="1" t="s">
        <v>716</v>
      </c>
      <c r="R10" s="1" t="s">
        <v>717</v>
      </c>
      <c r="S10" s="1" t="s">
        <v>150</v>
      </c>
      <c r="T10" s="1" t="s">
        <v>51</v>
      </c>
      <c r="U10" s="1" t="s">
        <v>67</v>
      </c>
      <c r="V10">
        <v>7.83</v>
      </c>
      <c r="W10">
        <v>7.67</v>
      </c>
      <c r="X10">
        <v>7.5</v>
      </c>
      <c r="Y10">
        <v>7.92</v>
      </c>
      <c r="Z10">
        <v>7.5</v>
      </c>
      <c r="AA10">
        <v>7.67</v>
      </c>
      <c r="AB10">
        <v>10</v>
      </c>
      <c r="AC10">
        <v>10</v>
      </c>
      <c r="AD10">
        <v>10</v>
      </c>
      <c r="AE10">
        <v>7.75</v>
      </c>
      <c r="AF10">
        <v>83.83</v>
      </c>
      <c r="AG10">
        <v>12</v>
      </c>
      <c r="AH10">
        <v>0</v>
      </c>
      <c r="AI10">
        <v>0</v>
      </c>
      <c r="AJ10" s="1" t="s">
        <v>53</v>
      </c>
      <c r="AK10">
        <v>12</v>
      </c>
      <c r="AL10" s="1" t="s">
        <v>718</v>
      </c>
      <c r="AM10" s="1" t="s">
        <v>133</v>
      </c>
      <c r="AN10" s="1" t="s">
        <v>139</v>
      </c>
      <c r="AO10" s="1" t="s">
        <v>140</v>
      </c>
      <c r="AP10" s="1">
        <f>AVERAGEIF(df_arabica_clean[Country of Origin],df_arabica_clean[[#This Row],[Country of Origin]],df_arabica_clean[Total Cup Points])</f>
        <v>84.960909090909084</v>
      </c>
      <c r="AQ10" s="1">
        <f>+COUNTIF(df_arabica_clean[Country of Origin],df_arabica_clean[[#This Row],[Country of Origin]])</f>
        <v>11</v>
      </c>
    </row>
    <row r="11" spans="1:43" hidden="1" x14ac:dyDescent="0.25">
      <c r="A11">
        <v>33</v>
      </c>
      <c r="B11">
        <v>33</v>
      </c>
      <c r="C11" s="1" t="s">
        <v>141</v>
      </c>
      <c r="D11" s="1" t="s">
        <v>303</v>
      </c>
      <c r="E11" s="1" t="s">
        <v>304</v>
      </c>
      <c r="F11" s="1" t="s">
        <v>305</v>
      </c>
      <c r="G11" s="1" t="s">
        <v>306</v>
      </c>
      <c r="H11" s="1">
        <v>1950</v>
      </c>
      <c r="I11" s="1">
        <f>IF(df_arabica_clean[[#This Row],[Altitude]] &lt;= 2500, df_arabica_clean[[#This Row],[Altitude]], ROUND(df_arabica_clean[[#This Row],[Altitude]] / 3.281, 0))</f>
        <v>1950</v>
      </c>
      <c r="J11" s="1" t="str">
        <f>IF(df_arabica_clean[[#This Row],[Altitude]]&gt;2500,"Convertido","Original")</f>
        <v>Original</v>
      </c>
      <c r="K11" s="1" t="s">
        <v>307</v>
      </c>
      <c r="L11" s="1" t="s">
        <v>308</v>
      </c>
      <c r="M11">
        <v>320</v>
      </c>
      <c r="N11" s="1" t="s">
        <v>132</v>
      </c>
      <c r="O11" s="1" t="s">
        <v>172</v>
      </c>
      <c r="P11" s="1" t="s">
        <v>48</v>
      </c>
      <c r="Q11" s="1" t="s">
        <v>309</v>
      </c>
      <c r="R11" s="1" t="s">
        <v>310</v>
      </c>
      <c r="S11" s="1" t="s">
        <v>150</v>
      </c>
      <c r="T11" s="1" t="s">
        <v>51</v>
      </c>
      <c r="U11" s="1" t="s">
        <v>67</v>
      </c>
      <c r="V11">
        <v>7.67</v>
      </c>
      <c r="W11">
        <v>7.83</v>
      </c>
      <c r="X11">
        <v>7.83</v>
      </c>
      <c r="Y11">
        <v>8</v>
      </c>
      <c r="Z11">
        <v>8</v>
      </c>
      <c r="AA11">
        <v>8</v>
      </c>
      <c r="AB11">
        <v>10</v>
      </c>
      <c r="AC11">
        <v>10</v>
      </c>
      <c r="AD11">
        <v>10</v>
      </c>
      <c r="AE11">
        <v>8</v>
      </c>
      <c r="AF11">
        <v>85.33</v>
      </c>
      <c r="AG11">
        <v>9.9</v>
      </c>
      <c r="AH11">
        <v>0</v>
      </c>
      <c r="AI11">
        <v>2</v>
      </c>
      <c r="AJ11" s="1" t="s">
        <v>53</v>
      </c>
      <c r="AK11">
        <v>3</v>
      </c>
      <c r="AL11" s="1" t="s">
        <v>311</v>
      </c>
      <c r="AM11" s="1" t="s">
        <v>172</v>
      </c>
      <c r="AN11" s="1" t="s">
        <v>177</v>
      </c>
      <c r="AO11" s="1" t="s">
        <v>178</v>
      </c>
      <c r="AP11" s="4">
        <f>AVERAGEIF(df_arabica_clean[Country of Origin],df_arabica_clean[[#This Row],[Country of Origin]],df_arabica_clean[Total Cup Points])</f>
        <v>84.960909090909084</v>
      </c>
      <c r="AQ11" s="1">
        <f>+COUNTIF(df_arabica_clean[Country of Origin],df_arabica_clean[[#This Row],[Country of Origin]])</f>
        <v>11</v>
      </c>
    </row>
    <row r="12" spans="1:43" hidden="1" x14ac:dyDescent="0.25">
      <c r="A12">
        <v>71</v>
      </c>
      <c r="B12">
        <v>71</v>
      </c>
      <c r="C12" s="1" t="s">
        <v>141</v>
      </c>
      <c r="D12" s="1" t="s">
        <v>567</v>
      </c>
      <c r="E12" s="1" t="s">
        <v>568</v>
      </c>
      <c r="F12" s="1" t="s">
        <v>569</v>
      </c>
      <c r="G12" s="1" t="s">
        <v>570</v>
      </c>
      <c r="H12" s="1">
        <v>1943</v>
      </c>
      <c r="I12" s="1">
        <f>IF(df_arabica_clean[[#This Row],[Altitude]] &lt;= 2500, df_arabica_clean[[#This Row],[Altitude]], ROUND(df_arabica_clean[[#This Row],[Altitude]] / 3.281, 0))</f>
        <v>1943</v>
      </c>
      <c r="J12" s="1" t="str">
        <f>IF(df_arabica_clean[[#This Row],[Altitude]]&gt;2500,"Convertido","Original")</f>
        <v>Original</v>
      </c>
      <c r="K12" s="1" t="s">
        <v>141</v>
      </c>
      <c r="L12" s="1" t="s">
        <v>567</v>
      </c>
      <c r="M12">
        <v>584</v>
      </c>
      <c r="N12" s="1" t="s">
        <v>106</v>
      </c>
      <c r="O12" s="1" t="s">
        <v>203</v>
      </c>
      <c r="P12" s="1" t="s">
        <v>48</v>
      </c>
      <c r="Q12" s="1" t="s">
        <v>571</v>
      </c>
      <c r="R12" s="1" t="s">
        <v>572</v>
      </c>
      <c r="S12" s="1" t="s">
        <v>150</v>
      </c>
      <c r="T12" s="1" t="s">
        <v>51</v>
      </c>
      <c r="U12" s="1" t="s">
        <v>67</v>
      </c>
      <c r="V12">
        <v>7.92</v>
      </c>
      <c r="W12">
        <v>7.83</v>
      </c>
      <c r="X12">
        <v>7.75</v>
      </c>
      <c r="Y12">
        <v>7.92</v>
      </c>
      <c r="Z12">
        <v>7.58</v>
      </c>
      <c r="AA12">
        <v>7.67</v>
      </c>
      <c r="AB12">
        <v>10</v>
      </c>
      <c r="AC12">
        <v>10</v>
      </c>
      <c r="AD12">
        <v>10</v>
      </c>
      <c r="AE12">
        <v>7.83</v>
      </c>
      <c r="AF12">
        <v>84.5</v>
      </c>
      <c r="AG12">
        <v>10.9</v>
      </c>
      <c r="AH12">
        <v>0</v>
      </c>
      <c r="AI12">
        <v>0</v>
      </c>
      <c r="AJ12" s="1" t="s">
        <v>53</v>
      </c>
      <c r="AK12">
        <v>9</v>
      </c>
      <c r="AL12" s="1" t="s">
        <v>573</v>
      </c>
      <c r="AM12" s="1" t="s">
        <v>203</v>
      </c>
      <c r="AN12" s="1" t="s">
        <v>207</v>
      </c>
      <c r="AO12" s="1" t="s">
        <v>208</v>
      </c>
      <c r="AP12" s="1">
        <f>AVERAGEIF(df_arabica_clean[Country of Origin],df_arabica_clean[[#This Row],[Country of Origin]],df_arabica_clean[Total Cup Points])</f>
        <v>84.960909090909084</v>
      </c>
      <c r="AQ12" s="1">
        <f>+COUNTIF(df_arabica_clean[Country of Origin],df_arabica_clean[[#This Row],[Country of Origin]])</f>
        <v>11</v>
      </c>
    </row>
    <row r="13" spans="1:43" hidden="1" x14ac:dyDescent="0.25">
      <c r="A13">
        <v>43</v>
      </c>
      <c r="B13">
        <v>43</v>
      </c>
      <c r="C13" s="1" t="s">
        <v>369</v>
      </c>
      <c r="D13" s="1" t="s">
        <v>370</v>
      </c>
      <c r="E13" s="1" t="s">
        <v>371</v>
      </c>
      <c r="F13" s="1" t="s">
        <v>372</v>
      </c>
      <c r="G13" s="1" t="s">
        <v>373</v>
      </c>
      <c r="H13" s="1">
        <v>1905</v>
      </c>
      <c r="I13" s="1">
        <f>IF(df_arabica_clean[[#This Row],[Altitude]] &lt;= 2500, df_arabica_clean[[#This Row],[Altitude]], ROUND(df_arabica_clean[[#This Row],[Altitude]] / 3.281, 0))</f>
        <v>1905</v>
      </c>
      <c r="J13" s="1" t="str">
        <f>IF(df_arabica_clean[[#This Row],[Altitude]]&gt;2500,"Convertido","Original")</f>
        <v>Original</v>
      </c>
      <c r="K13" s="1" t="s">
        <v>374</v>
      </c>
      <c r="L13" s="1" t="s">
        <v>375</v>
      </c>
      <c r="M13">
        <v>320</v>
      </c>
      <c r="N13" s="1" t="s">
        <v>132</v>
      </c>
      <c r="O13" s="1" t="s">
        <v>376</v>
      </c>
      <c r="P13" s="1" t="s">
        <v>48</v>
      </c>
      <c r="Q13" s="1" t="s">
        <v>377</v>
      </c>
      <c r="R13" s="1" t="s">
        <v>378</v>
      </c>
      <c r="S13" s="1" t="s">
        <v>379</v>
      </c>
      <c r="T13" s="1" t="s">
        <v>51</v>
      </c>
      <c r="U13" s="1" t="s">
        <v>67</v>
      </c>
      <c r="V13">
        <v>8</v>
      </c>
      <c r="W13">
        <v>7.92</v>
      </c>
      <c r="X13">
        <v>7.75</v>
      </c>
      <c r="Y13">
        <v>7.75</v>
      </c>
      <c r="Z13">
        <v>7.75</v>
      </c>
      <c r="AA13">
        <v>7.92</v>
      </c>
      <c r="AB13">
        <v>10</v>
      </c>
      <c r="AC13">
        <v>10</v>
      </c>
      <c r="AD13">
        <v>10</v>
      </c>
      <c r="AE13">
        <v>7.92</v>
      </c>
      <c r="AF13">
        <v>85</v>
      </c>
      <c r="AG13">
        <v>11</v>
      </c>
      <c r="AH13">
        <v>0</v>
      </c>
      <c r="AI13">
        <v>0</v>
      </c>
      <c r="AJ13" s="1" t="s">
        <v>53</v>
      </c>
      <c r="AK13">
        <v>1</v>
      </c>
      <c r="AL13" s="1" t="s">
        <v>380</v>
      </c>
      <c r="AM13" s="1" t="s">
        <v>376</v>
      </c>
      <c r="AN13" s="1" t="s">
        <v>381</v>
      </c>
      <c r="AO13" s="1" t="s">
        <v>382</v>
      </c>
      <c r="AP13" s="1">
        <f>AVERAGEIF(df_arabica_clean[Country of Origin],df_arabica_clean[[#This Row],[Country of Origin]],df_arabica_clean[Total Cup Points])</f>
        <v>83.916666666666671</v>
      </c>
      <c r="AQ13" s="1">
        <f>+COUNTIF(df_arabica_clean[Country of Origin],df_arabica_clean[[#This Row],[Country of Origin]])</f>
        <v>3</v>
      </c>
    </row>
    <row r="14" spans="1:43" hidden="1" x14ac:dyDescent="0.25">
      <c r="A14">
        <v>120</v>
      </c>
      <c r="B14">
        <v>120</v>
      </c>
      <c r="C14" s="1" t="s">
        <v>369</v>
      </c>
      <c r="D14" s="1" t="s">
        <v>827</v>
      </c>
      <c r="E14" s="1" t="s">
        <v>828</v>
      </c>
      <c r="F14" s="1" t="s">
        <v>372</v>
      </c>
      <c r="G14" s="1" t="s">
        <v>373</v>
      </c>
      <c r="H14" s="1">
        <v>1905</v>
      </c>
      <c r="I14" s="1">
        <f>IF(df_arabica_clean[[#This Row],[Altitude]] &lt;= 2500, df_arabica_clean[[#This Row],[Altitude]], ROUND(df_arabica_clean[[#This Row],[Altitude]] / 3.281, 0))</f>
        <v>1905</v>
      </c>
      <c r="J14" s="1" t="str">
        <f>IF(df_arabica_clean[[#This Row],[Altitude]]&gt;2500,"Convertido","Original")</f>
        <v>Original</v>
      </c>
      <c r="K14" s="1" t="s">
        <v>374</v>
      </c>
      <c r="L14" s="1" t="s">
        <v>375</v>
      </c>
      <c r="M14">
        <v>320</v>
      </c>
      <c r="N14" s="1" t="s">
        <v>132</v>
      </c>
      <c r="O14" s="1" t="s">
        <v>376</v>
      </c>
      <c r="P14" s="1" t="s">
        <v>48</v>
      </c>
      <c r="Q14" s="1" t="s">
        <v>829</v>
      </c>
      <c r="R14" s="1" t="s">
        <v>378</v>
      </c>
      <c r="S14" s="1" t="s">
        <v>379</v>
      </c>
      <c r="T14" s="1" t="s">
        <v>51</v>
      </c>
      <c r="U14" s="1" t="s">
        <v>67</v>
      </c>
      <c r="V14">
        <v>7.75</v>
      </c>
      <c r="W14">
        <v>7.67</v>
      </c>
      <c r="X14">
        <v>7.58</v>
      </c>
      <c r="Y14">
        <v>7.5</v>
      </c>
      <c r="Z14">
        <v>7.67</v>
      </c>
      <c r="AA14">
        <v>7.5</v>
      </c>
      <c r="AB14">
        <v>10</v>
      </c>
      <c r="AC14">
        <v>10</v>
      </c>
      <c r="AD14">
        <v>10</v>
      </c>
      <c r="AE14">
        <v>7.67</v>
      </c>
      <c r="AF14">
        <v>83.33</v>
      </c>
      <c r="AG14">
        <v>11.1</v>
      </c>
      <c r="AH14">
        <v>0</v>
      </c>
      <c r="AI14">
        <v>0</v>
      </c>
      <c r="AJ14" s="1" t="s">
        <v>53</v>
      </c>
      <c r="AK14">
        <v>5</v>
      </c>
      <c r="AL14" s="1" t="s">
        <v>830</v>
      </c>
      <c r="AM14" s="1" t="s">
        <v>376</v>
      </c>
      <c r="AN14" s="1" t="s">
        <v>381</v>
      </c>
      <c r="AO14" s="1" t="s">
        <v>382</v>
      </c>
      <c r="AP14" s="1">
        <f>AVERAGEIF(df_arabica_clean[Country of Origin],df_arabica_clean[[#This Row],[Country of Origin]],df_arabica_clean[Total Cup Points])</f>
        <v>83.916666666666671</v>
      </c>
      <c r="AQ14" s="1">
        <f>+COUNTIF(df_arabica_clean[Country of Origin],df_arabica_clean[[#This Row],[Country of Origin]])</f>
        <v>3</v>
      </c>
    </row>
    <row r="15" spans="1:43" hidden="1" x14ac:dyDescent="0.25">
      <c r="A15">
        <v>16</v>
      </c>
      <c r="B15">
        <v>16</v>
      </c>
      <c r="C15" s="1" t="s">
        <v>141</v>
      </c>
      <c r="D15" s="1" t="s">
        <v>189</v>
      </c>
      <c r="E15" s="1" t="s">
        <v>190</v>
      </c>
      <c r="F15" s="1" t="s">
        <v>189</v>
      </c>
      <c r="G15" s="1" t="s">
        <v>43</v>
      </c>
      <c r="H15" s="1">
        <v>1900</v>
      </c>
      <c r="I15" s="1">
        <f>IF(df_arabica_clean[[#This Row],[Altitude]] &lt;= 2500, df_arabica_clean[[#This Row],[Altitude]], ROUND(df_arabica_clean[[#This Row],[Altitude]] / 3.281, 0))</f>
        <v>1900</v>
      </c>
      <c r="J15" s="1" t="str">
        <f>IF(df_arabica_clean[[#This Row],[Altitude]]&gt;2500,"Convertido","Original")</f>
        <v>Original</v>
      </c>
      <c r="K15" s="1" t="s">
        <v>191</v>
      </c>
      <c r="L15" s="1" t="s">
        <v>189</v>
      </c>
      <c r="M15">
        <v>8</v>
      </c>
      <c r="N15" s="1" t="s">
        <v>192</v>
      </c>
      <c r="O15" s="1" t="s">
        <v>47</v>
      </c>
      <c r="P15" s="1" t="s">
        <v>89</v>
      </c>
      <c r="Q15" s="1" t="s">
        <v>193</v>
      </c>
      <c r="R15" s="1" t="s">
        <v>43</v>
      </c>
      <c r="S15" s="1" t="s">
        <v>194</v>
      </c>
      <c r="T15" s="1" t="s">
        <v>51</v>
      </c>
      <c r="U15" s="1" t="s">
        <v>67</v>
      </c>
      <c r="V15">
        <v>8.17</v>
      </c>
      <c r="W15">
        <v>8.08</v>
      </c>
      <c r="X15">
        <v>7.92</v>
      </c>
      <c r="Y15">
        <v>8.17</v>
      </c>
      <c r="Z15">
        <v>7.75</v>
      </c>
      <c r="AA15">
        <v>7.92</v>
      </c>
      <c r="AB15">
        <v>10</v>
      </c>
      <c r="AC15">
        <v>10</v>
      </c>
      <c r="AD15">
        <v>10</v>
      </c>
      <c r="AE15">
        <v>8.08</v>
      </c>
      <c r="AF15">
        <v>86.08</v>
      </c>
      <c r="AG15">
        <v>11.3</v>
      </c>
      <c r="AH15">
        <v>0</v>
      </c>
      <c r="AI15">
        <v>2</v>
      </c>
      <c r="AJ15" s="1" t="s">
        <v>53</v>
      </c>
      <c r="AK15">
        <v>2</v>
      </c>
      <c r="AL15" s="1" t="s">
        <v>195</v>
      </c>
      <c r="AM15" s="1" t="s">
        <v>47</v>
      </c>
      <c r="AN15" s="1" t="s">
        <v>55</v>
      </c>
      <c r="AO15" s="1" t="s">
        <v>56</v>
      </c>
      <c r="AP15" s="4">
        <f>AVERAGEIF(df_arabica_clean[Country of Origin],df_arabica_clean[[#This Row],[Country of Origin]],df_arabica_clean[Total Cup Points])</f>
        <v>84.960909090909084</v>
      </c>
      <c r="AQ15" s="1">
        <f>+COUNTIF(df_arabica_clean[Country of Origin],df_arabica_clean[[#This Row],[Country of Origin]])</f>
        <v>11</v>
      </c>
    </row>
    <row r="16" spans="1:43" x14ac:dyDescent="0.25">
      <c r="A16">
        <v>200</v>
      </c>
      <c r="B16">
        <v>200</v>
      </c>
      <c r="C16" s="1" t="s">
        <v>596</v>
      </c>
      <c r="D16" s="1" t="s">
        <v>1202</v>
      </c>
      <c r="E16" s="1" t="s">
        <v>1203</v>
      </c>
      <c r="F16" s="1" t="s">
        <v>1176</v>
      </c>
      <c r="G16" s="1" t="s">
        <v>1177</v>
      </c>
      <c r="H16" s="1">
        <v>1300</v>
      </c>
      <c r="I16" s="1">
        <f>IF(df_arabica_clean[[#This Row],[Altitude]] &lt;= 2500, df_arabica_clean[[#This Row],[Altitude]], ROUND(df_arabica_clean[[#This Row],[Altitude]] / 3.281, 0))</f>
        <v>1300</v>
      </c>
      <c r="J16" s="1" t="str">
        <f>IF(df_arabica_clean[[#This Row],[Altitude]]&gt;2500,"Convertido","Original")</f>
        <v>Original</v>
      </c>
      <c r="K16" s="1" t="s">
        <v>1178</v>
      </c>
      <c r="L16" s="1" t="s">
        <v>1179</v>
      </c>
      <c r="M16">
        <v>1</v>
      </c>
      <c r="N16" s="1" t="s">
        <v>202</v>
      </c>
      <c r="O16" s="1" t="s">
        <v>1001</v>
      </c>
      <c r="P16" s="1" t="s">
        <v>1180</v>
      </c>
      <c r="Q16" s="1" t="s">
        <v>1181</v>
      </c>
      <c r="R16" s="1" t="s">
        <v>1179</v>
      </c>
      <c r="S16" s="1" t="s">
        <v>1204</v>
      </c>
      <c r="T16" s="1" t="s">
        <v>51</v>
      </c>
      <c r="U16" s="1" t="s">
        <v>118</v>
      </c>
      <c r="V16">
        <v>7.08</v>
      </c>
      <c r="W16">
        <v>7.25</v>
      </c>
      <c r="X16">
        <v>7.08</v>
      </c>
      <c r="Y16">
        <v>7.42</v>
      </c>
      <c r="Z16">
        <v>7.42</v>
      </c>
      <c r="AA16">
        <v>7.08</v>
      </c>
      <c r="AB16">
        <v>10</v>
      </c>
      <c r="AC16">
        <v>10</v>
      </c>
      <c r="AD16">
        <v>10</v>
      </c>
      <c r="AE16">
        <v>7</v>
      </c>
      <c r="AF16">
        <v>80.33</v>
      </c>
      <c r="AG16">
        <v>11.5</v>
      </c>
      <c r="AH16">
        <v>0</v>
      </c>
      <c r="AI16">
        <v>10</v>
      </c>
      <c r="AJ16" s="1" t="s">
        <v>257</v>
      </c>
      <c r="AK16">
        <v>7</v>
      </c>
      <c r="AL16" s="1" t="s">
        <v>1182</v>
      </c>
      <c r="AM16" s="1" t="s">
        <v>1001</v>
      </c>
      <c r="AN16" s="1" t="s">
        <v>1004</v>
      </c>
      <c r="AO16" s="1" t="s">
        <v>1005</v>
      </c>
      <c r="AP16" s="5">
        <f>AVERAGEIF(df_arabica_clean[Country of Origin],df_arabica_clean[[#This Row],[Country of Origin]],df_arabica_clean[Total Cup Points])</f>
        <v>81.532857142857139</v>
      </c>
      <c r="AQ16" s="1">
        <f>+COUNTIF(df_arabica_clean[Country of Origin],df_arabica_clean[[#This Row],[Country of Origin]])</f>
        <v>7</v>
      </c>
    </row>
    <row r="17" spans="1:43" hidden="1" x14ac:dyDescent="0.25">
      <c r="A17">
        <v>13</v>
      </c>
      <c r="B17">
        <v>13</v>
      </c>
      <c r="C17" s="1" t="s">
        <v>141</v>
      </c>
      <c r="D17" s="1" t="s">
        <v>167</v>
      </c>
      <c r="E17" s="1" t="s">
        <v>168</v>
      </c>
      <c r="F17" s="1" t="s">
        <v>169</v>
      </c>
      <c r="G17" s="1" t="s">
        <v>170</v>
      </c>
      <c r="H17" s="1">
        <v>1900</v>
      </c>
      <c r="I17" s="1">
        <f>IF(df_arabica_clean[[#This Row],[Altitude]] &lt;= 2500, df_arabica_clean[[#This Row],[Altitude]], ROUND(df_arabica_clean[[#This Row],[Altitude]] / 3.281, 0))</f>
        <v>1900</v>
      </c>
      <c r="J17" s="1" t="str">
        <f>IF(df_arabica_clean[[#This Row],[Altitude]]&gt;2500,"Convertido","Original")</f>
        <v>Original</v>
      </c>
      <c r="K17" s="1" t="s">
        <v>146</v>
      </c>
      <c r="L17" s="1" t="s">
        <v>171</v>
      </c>
      <c r="M17">
        <v>40</v>
      </c>
      <c r="N17" s="1" t="s">
        <v>132</v>
      </c>
      <c r="O17" s="1" t="s">
        <v>172</v>
      </c>
      <c r="P17" s="1" t="s">
        <v>48</v>
      </c>
      <c r="Q17" s="1" t="s">
        <v>173</v>
      </c>
      <c r="R17" s="1" t="s">
        <v>174</v>
      </c>
      <c r="S17" s="1" t="s">
        <v>66</v>
      </c>
      <c r="T17" s="1" t="s">
        <v>51</v>
      </c>
      <c r="U17" s="1" t="s">
        <v>118</v>
      </c>
      <c r="V17">
        <v>7.67</v>
      </c>
      <c r="W17">
        <v>8.17</v>
      </c>
      <c r="X17">
        <v>8</v>
      </c>
      <c r="Y17">
        <v>8.33</v>
      </c>
      <c r="Z17">
        <v>8</v>
      </c>
      <c r="AA17">
        <v>8</v>
      </c>
      <c r="AB17">
        <v>10</v>
      </c>
      <c r="AC17">
        <v>10</v>
      </c>
      <c r="AD17">
        <v>10</v>
      </c>
      <c r="AE17">
        <v>8</v>
      </c>
      <c r="AF17">
        <v>86.17</v>
      </c>
      <c r="AG17">
        <v>11.6</v>
      </c>
      <c r="AH17">
        <v>0</v>
      </c>
      <c r="AI17">
        <v>3</v>
      </c>
      <c r="AJ17" s="1" t="s">
        <v>175</v>
      </c>
      <c r="AK17">
        <v>2</v>
      </c>
      <c r="AL17" s="1" t="s">
        <v>176</v>
      </c>
      <c r="AM17" s="1" t="s">
        <v>172</v>
      </c>
      <c r="AN17" s="1" t="s">
        <v>177</v>
      </c>
      <c r="AO17" s="1" t="s">
        <v>178</v>
      </c>
      <c r="AP17" s="4">
        <f>AVERAGEIF(df_arabica_clean[Country of Origin],df_arabica_clean[[#This Row],[Country of Origin]],df_arabica_clean[Total Cup Points])</f>
        <v>84.960909090909084</v>
      </c>
      <c r="AQ17" s="1">
        <f>+COUNTIF(df_arabica_clean[Country of Origin],df_arabica_clean[[#This Row],[Country of Origin]])</f>
        <v>11</v>
      </c>
    </row>
    <row r="18" spans="1:43" x14ac:dyDescent="0.25">
      <c r="A18">
        <v>195</v>
      </c>
      <c r="B18">
        <v>195</v>
      </c>
      <c r="C18" s="1" t="s">
        <v>596</v>
      </c>
      <c r="D18" s="1" t="s">
        <v>1174</v>
      </c>
      <c r="E18" s="1" t="s">
        <v>1175</v>
      </c>
      <c r="F18" s="1" t="s">
        <v>1176</v>
      </c>
      <c r="G18" s="1" t="s">
        <v>1177</v>
      </c>
      <c r="H18" s="1">
        <v>1400</v>
      </c>
      <c r="I18" s="1">
        <f>IF(df_arabica_clean[[#This Row],[Altitude]] &lt;= 2500, df_arabica_clean[[#This Row],[Altitude]], ROUND(df_arabica_clean[[#This Row],[Altitude]] / 3.281, 0))</f>
        <v>1400</v>
      </c>
      <c r="J18" s="1" t="str">
        <f>IF(df_arabica_clean[[#This Row],[Altitude]]&gt;2500,"Convertido","Original")</f>
        <v>Original</v>
      </c>
      <c r="K18" s="1" t="s">
        <v>1178</v>
      </c>
      <c r="L18" s="1" t="s">
        <v>1179</v>
      </c>
      <c r="M18">
        <v>1</v>
      </c>
      <c r="N18" s="1" t="s">
        <v>202</v>
      </c>
      <c r="O18" s="1" t="s">
        <v>1001</v>
      </c>
      <c r="P18" s="1" t="s">
        <v>1180</v>
      </c>
      <c r="Q18" s="1" t="s">
        <v>1181</v>
      </c>
      <c r="R18" s="1" t="s">
        <v>1179</v>
      </c>
      <c r="S18" s="1" t="s">
        <v>137</v>
      </c>
      <c r="T18" s="1" t="s">
        <v>51</v>
      </c>
      <c r="U18" s="1" t="s">
        <v>118</v>
      </c>
      <c r="V18">
        <v>7.42</v>
      </c>
      <c r="W18">
        <v>7.33</v>
      </c>
      <c r="X18">
        <v>7.33</v>
      </c>
      <c r="Y18">
        <v>7.5</v>
      </c>
      <c r="Z18">
        <v>7.08</v>
      </c>
      <c r="AA18">
        <v>7</v>
      </c>
      <c r="AB18">
        <v>10</v>
      </c>
      <c r="AC18">
        <v>10</v>
      </c>
      <c r="AD18">
        <v>10</v>
      </c>
      <c r="AE18">
        <v>7.17</v>
      </c>
      <c r="AF18">
        <v>80.83</v>
      </c>
      <c r="AG18">
        <v>10.5</v>
      </c>
      <c r="AH18">
        <v>0</v>
      </c>
      <c r="AI18">
        <v>8</v>
      </c>
      <c r="AJ18" s="1" t="s">
        <v>257</v>
      </c>
      <c r="AK18">
        <v>7</v>
      </c>
      <c r="AL18" s="1" t="s">
        <v>1182</v>
      </c>
      <c r="AM18" s="1" t="s">
        <v>1001</v>
      </c>
      <c r="AN18" s="1" t="s">
        <v>1004</v>
      </c>
      <c r="AO18" s="1" t="s">
        <v>1005</v>
      </c>
      <c r="AP18" s="5">
        <f>AVERAGEIF(df_arabica_clean[Country of Origin],df_arabica_clean[[#This Row],[Country of Origin]],df_arabica_clean[Total Cup Points])</f>
        <v>81.532857142857139</v>
      </c>
      <c r="AQ18" s="1">
        <f>+COUNTIF(df_arabica_clean[Country of Origin],df_arabica_clean[[#This Row],[Country of Origin]])</f>
        <v>7</v>
      </c>
    </row>
    <row r="19" spans="1:43" x14ac:dyDescent="0.25">
      <c r="A19">
        <v>77</v>
      </c>
      <c r="B19">
        <v>77</v>
      </c>
      <c r="C19" s="1" t="s">
        <v>596</v>
      </c>
      <c r="D19" s="1" t="s">
        <v>597</v>
      </c>
      <c r="E19" s="1" t="s">
        <v>598</v>
      </c>
      <c r="F19" s="1" t="s">
        <v>597</v>
      </c>
      <c r="G19" s="1" t="s">
        <v>60</v>
      </c>
      <c r="H19" s="1">
        <v>1500</v>
      </c>
      <c r="I19" s="1">
        <f>IF(df_arabica_clean[[#This Row],[Altitude]] &lt;= 2500, df_arabica_clean[[#This Row],[Altitude]], ROUND(df_arabica_clean[[#This Row],[Altitude]] / 3.281, 0))</f>
        <v>1500</v>
      </c>
      <c r="J19" s="1" t="str">
        <f>IF(df_arabica_clean[[#This Row],[Altitude]]&gt;2500,"Convertido","Original")</f>
        <v>Original</v>
      </c>
      <c r="K19" s="1" t="s">
        <v>599</v>
      </c>
      <c r="L19" s="1" t="s">
        <v>600</v>
      </c>
      <c r="M19">
        <v>20</v>
      </c>
      <c r="N19" s="1" t="s">
        <v>106</v>
      </c>
      <c r="O19" s="1" t="s">
        <v>64</v>
      </c>
      <c r="P19" s="1" t="s">
        <v>158</v>
      </c>
      <c r="Q19" s="1" t="s">
        <v>65</v>
      </c>
      <c r="R19" s="1" t="s">
        <v>64</v>
      </c>
      <c r="S19" s="1" t="s">
        <v>601</v>
      </c>
      <c r="T19" s="1" t="s">
        <v>51</v>
      </c>
      <c r="U19" s="1" t="s">
        <v>188</v>
      </c>
      <c r="V19">
        <v>7.83</v>
      </c>
      <c r="W19">
        <v>7.83</v>
      </c>
      <c r="X19">
        <v>7.83</v>
      </c>
      <c r="Y19">
        <v>7.83</v>
      </c>
      <c r="Z19">
        <v>7.67</v>
      </c>
      <c r="AA19">
        <v>7.67</v>
      </c>
      <c r="AB19">
        <v>10</v>
      </c>
      <c r="AC19">
        <v>10</v>
      </c>
      <c r="AD19">
        <v>10</v>
      </c>
      <c r="AE19">
        <v>7.67</v>
      </c>
      <c r="AF19">
        <v>84.33</v>
      </c>
      <c r="AG19">
        <v>10.3</v>
      </c>
      <c r="AH19">
        <v>0</v>
      </c>
      <c r="AI19">
        <v>0</v>
      </c>
      <c r="AJ19" s="1" t="s">
        <v>160</v>
      </c>
      <c r="AK19">
        <v>4</v>
      </c>
      <c r="AL19" s="1" t="s">
        <v>69</v>
      </c>
      <c r="AM19" s="1" t="s">
        <v>64</v>
      </c>
      <c r="AN19" s="1" t="s">
        <v>70</v>
      </c>
      <c r="AO19" s="1" t="s">
        <v>71</v>
      </c>
      <c r="AP19" s="5">
        <f>AVERAGEIF(df_arabica_clean[Country of Origin],df_arabica_clean[[#This Row],[Country of Origin]],df_arabica_clean[Total Cup Points])</f>
        <v>81.532857142857139</v>
      </c>
      <c r="AQ19" s="1">
        <f>+COUNTIF(df_arabica_clean[Country of Origin],df_arabica_clean[[#This Row],[Country of Origin]])</f>
        <v>7</v>
      </c>
    </row>
    <row r="20" spans="1:43" x14ac:dyDescent="0.25">
      <c r="A20">
        <v>206</v>
      </c>
      <c r="B20">
        <v>206</v>
      </c>
      <c r="C20" s="1" t="s">
        <v>258</v>
      </c>
      <c r="D20" s="1" t="s">
        <v>1226</v>
      </c>
      <c r="E20" s="1" t="s">
        <v>1227</v>
      </c>
      <c r="F20" s="1" t="s">
        <v>1228</v>
      </c>
      <c r="G20" s="1" t="s">
        <v>666</v>
      </c>
      <c r="H20" s="1">
        <v>850</v>
      </c>
      <c r="I20" s="1">
        <f>IF(df_arabica_clean[[#This Row],[Altitude]] &lt;= 2500, df_arabica_clean[[#This Row],[Altitude]], ROUND(df_arabica_clean[[#This Row],[Altitude]] / 3.281, 0))</f>
        <v>850</v>
      </c>
      <c r="J20" s="1" t="str">
        <f>IF(df_arabica_clean[[#This Row],[Altitude]]&gt;2500,"Convertido","Original")</f>
        <v>Original</v>
      </c>
      <c r="K20" s="1" t="s">
        <v>1229</v>
      </c>
      <c r="L20" s="1" t="s">
        <v>1226</v>
      </c>
      <c r="M20">
        <v>600</v>
      </c>
      <c r="N20" s="1" t="s">
        <v>132</v>
      </c>
      <c r="O20" s="1" t="s">
        <v>668</v>
      </c>
      <c r="P20" s="1" t="s">
        <v>48</v>
      </c>
      <c r="Q20" s="1" t="s">
        <v>669</v>
      </c>
      <c r="R20" s="1" t="s">
        <v>670</v>
      </c>
      <c r="S20" s="1" t="s">
        <v>864</v>
      </c>
      <c r="T20" s="1" t="s">
        <v>51</v>
      </c>
      <c r="U20" s="1" t="s">
        <v>1230</v>
      </c>
      <c r="V20">
        <v>7.25</v>
      </c>
      <c r="W20">
        <v>7.08</v>
      </c>
      <c r="X20">
        <v>6.67</v>
      </c>
      <c r="Y20">
        <v>6.83</v>
      </c>
      <c r="Z20">
        <v>6.83</v>
      </c>
      <c r="AA20">
        <v>6.67</v>
      </c>
      <c r="AB20">
        <v>10</v>
      </c>
      <c r="AC20">
        <v>10</v>
      </c>
      <c r="AD20">
        <v>10</v>
      </c>
      <c r="AE20">
        <v>6.67</v>
      </c>
      <c r="AF20">
        <v>78</v>
      </c>
      <c r="AG20">
        <v>11.3</v>
      </c>
      <c r="AH20">
        <v>0</v>
      </c>
      <c r="AI20">
        <v>0</v>
      </c>
      <c r="AJ20" s="1" t="s">
        <v>53</v>
      </c>
      <c r="AK20">
        <v>1</v>
      </c>
      <c r="AL20" s="1" t="s">
        <v>671</v>
      </c>
      <c r="AM20" s="1" t="s">
        <v>668</v>
      </c>
      <c r="AN20" s="1" t="s">
        <v>672</v>
      </c>
      <c r="AO20" s="1" t="s">
        <v>673</v>
      </c>
      <c r="AP20" s="5">
        <f>AVERAGEIF(df_arabica_clean[Country of Origin],df_arabica_clean[[#This Row],[Country of Origin]],df_arabica_clean[Total Cup Points])</f>
        <v>81.882999999999996</v>
      </c>
      <c r="AQ20" s="1">
        <f>+COUNTIF(df_arabica_clean[Country of Origin],df_arabica_clean[[#This Row],[Country of Origin]])</f>
        <v>10</v>
      </c>
    </row>
    <row r="21" spans="1:43" x14ac:dyDescent="0.25">
      <c r="A21">
        <v>184</v>
      </c>
      <c r="B21">
        <v>184</v>
      </c>
      <c r="C21" s="1" t="s">
        <v>258</v>
      </c>
      <c r="D21" s="1" t="s">
        <v>1131</v>
      </c>
      <c r="E21" s="1" t="s">
        <v>235</v>
      </c>
      <c r="F21" s="1" t="s">
        <v>1132</v>
      </c>
      <c r="G21" s="1" t="s">
        <v>837</v>
      </c>
      <c r="H21" s="1">
        <v>900</v>
      </c>
      <c r="I21" s="1">
        <f>IF(df_arabica_clean[[#This Row],[Altitude]] &lt;= 2500, df_arabica_clean[[#This Row],[Altitude]], ROUND(df_arabica_clean[[#This Row],[Altitude]] / 3.281, 0))</f>
        <v>900</v>
      </c>
      <c r="J21" s="1" t="str">
        <f>IF(df_arabica_clean[[#This Row],[Altitude]]&gt;2500,"Convertido","Original")</f>
        <v>Original</v>
      </c>
      <c r="K21" s="1" t="s">
        <v>862</v>
      </c>
      <c r="L21" s="1" t="s">
        <v>1133</v>
      </c>
      <c r="M21">
        <v>325</v>
      </c>
      <c r="N21" s="1" t="s">
        <v>1134</v>
      </c>
      <c r="O21" s="1" t="s">
        <v>64</v>
      </c>
      <c r="P21" s="1" t="s">
        <v>158</v>
      </c>
      <c r="Q21" s="1" t="s">
        <v>359</v>
      </c>
      <c r="R21" s="1" t="s">
        <v>840</v>
      </c>
      <c r="S21" s="1" t="s">
        <v>1135</v>
      </c>
      <c r="T21" s="1" t="s">
        <v>51</v>
      </c>
      <c r="U21" s="1" t="s">
        <v>118</v>
      </c>
      <c r="V21">
        <v>7.42</v>
      </c>
      <c r="W21">
        <v>7.5</v>
      </c>
      <c r="X21">
        <v>7.58</v>
      </c>
      <c r="Y21">
        <v>7.33</v>
      </c>
      <c r="Z21">
        <v>7.33</v>
      </c>
      <c r="AA21">
        <v>7.25</v>
      </c>
      <c r="AB21">
        <v>10</v>
      </c>
      <c r="AC21">
        <v>10</v>
      </c>
      <c r="AD21">
        <v>10</v>
      </c>
      <c r="AE21">
        <v>7.33</v>
      </c>
      <c r="AF21">
        <v>81.75</v>
      </c>
      <c r="AG21">
        <v>11.1</v>
      </c>
      <c r="AH21">
        <v>0</v>
      </c>
      <c r="AI21">
        <v>0</v>
      </c>
      <c r="AJ21" s="1" t="s">
        <v>98</v>
      </c>
      <c r="AK21">
        <v>0</v>
      </c>
      <c r="AL21" s="1" t="s">
        <v>361</v>
      </c>
      <c r="AM21" s="1" t="s">
        <v>64</v>
      </c>
      <c r="AN21" s="1" t="s">
        <v>70</v>
      </c>
      <c r="AO21" s="1" t="s">
        <v>71</v>
      </c>
      <c r="AP21" s="5">
        <f>AVERAGEIF(df_arabica_clean[Country of Origin],df_arabica_clean[[#This Row],[Country of Origin]],df_arabica_clean[Total Cup Points])</f>
        <v>81.882999999999996</v>
      </c>
      <c r="AQ21" s="1">
        <f>+COUNTIF(df_arabica_clean[Country of Origin],df_arabica_clean[[#This Row],[Country of Origin]])</f>
        <v>10</v>
      </c>
    </row>
    <row r="22" spans="1:43" x14ac:dyDescent="0.25">
      <c r="A22">
        <v>202</v>
      </c>
      <c r="B22">
        <v>202</v>
      </c>
      <c r="C22" s="1" t="s">
        <v>258</v>
      </c>
      <c r="D22" s="1" t="s">
        <v>1211</v>
      </c>
      <c r="E22" s="1" t="s">
        <v>1212</v>
      </c>
      <c r="F22" s="1" t="s">
        <v>372</v>
      </c>
      <c r="G22" s="1" t="s">
        <v>861</v>
      </c>
      <c r="H22" s="1">
        <v>950</v>
      </c>
      <c r="I22" s="1">
        <f>IF(df_arabica_clean[[#This Row],[Altitude]] &lt;= 2500, df_arabica_clean[[#This Row],[Altitude]], ROUND(df_arabica_clean[[#This Row],[Altitude]] / 3.281, 0))</f>
        <v>950</v>
      </c>
      <c r="J22" s="1" t="str">
        <f>IF(df_arabica_clean[[#This Row],[Altitude]]&gt;2500,"Convertido","Original")</f>
        <v>Original</v>
      </c>
      <c r="K22" s="1" t="s">
        <v>862</v>
      </c>
      <c r="L22" s="1" t="s">
        <v>861</v>
      </c>
      <c r="M22">
        <v>2240</v>
      </c>
      <c r="N22" s="1" t="s">
        <v>132</v>
      </c>
      <c r="O22" s="1" t="s">
        <v>265</v>
      </c>
      <c r="P22" s="1" t="s">
        <v>134</v>
      </c>
      <c r="Q22" s="1" t="s">
        <v>1213</v>
      </c>
      <c r="R22" s="1" t="s">
        <v>861</v>
      </c>
      <c r="S22" s="1" t="s">
        <v>864</v>
      </c>
      <c r="T22" s="1" t="s">
        <v>51</v>
      </c>
      <c r="U22" s="1" t="s">
        <v>118</v>
      </c>
      <c r="V22">
        <v>7.17</v>
      </c>
      <c r="W22">
        <v>7.17</v>
      </c>
      <c r="X22">
        <v>6.92</v>
      </c>
      <c r="Y22">
        <v>7.17</v>
      </c>
      <c r="Z22">
        <v>7.42</v>
      </c>
      <c r="AA22">
        <v>7.17</v>
      </c>
      <c r="AB22">
        <v>10</v>
      </c>
      <c r="AC22">
        <v>10</v>
      </c>
      <c r="AD22">
        <v>10</v>
      </c>
      <c r="AE22">
        <v>7.08</v>
      </c>
      <c r="AF22">
        <v>80.08</v>
      </c>
      <c r="AG22">
        <v>11.4</v>
      </c>
      <c r="AH22">
        <v>0</v>
      </c>
      <c r="AI22">
        <v>0</v>
      </c>
      <c r="AJ22" s="1" t="s">
        <v>53</v>
      </c>
      <c r="AK22">
        <v>4</v>
      </c>
      <c r="AL22" s="1" t="s">
        <v>1214</v>
      </c>
      <c r="AM22" s="1" t="s">
        <v>265</v>
      </c>
      <c r="AN22" s="1" t="s">
        <v>269</v>
      </c>
      <c r="AO22" s="1" t="s">
        <v>270</v>
      </c>
      <c r="AP22" s="5">
        <f>AVERAGEIF(df_arabica_clean[Country of Origin],df_arabica_clean[[#This Row],[Country of Origin]],df_arabica_clean[Total Cup Points])</f>
        <v>81.882999999999996</v>
      </c>
      <c r="AQ22" s="1">
        <f>+COUNTIF(df_arabica_clean[Country of Origin],df_arabica_clean[[#This Row],[Country of Origin]])</f>
        <v>10</v>
      </c>
    </row>
    <row r="23" spans="1:43" x14ac:dyDescent="0.25">
      <c r="A23">
        <v>129</v>
      </c>
      <c r="B23">
        <v>129</v>
      </c>
      <c r="C23" s="1" t="s">
        <v>258</v>
      </c>
      <c r="D23" s="1" t="s">
        <v>859</v>
      </c>
      <c r="E23" s="1" t="s">
        <v>860</v>
      </c>
      <c r="F23" s="1" t="s">
        <v>261</v>
      </c>
      <c r="G23" s="1" t="s">
        <v>861</v>
      </c>
      <c r="H23" s="1">
        <v>950</v>
      </c>
      <c r="I23" s="1">
        <f>IF(df_arabica_clean[[#This Row],[Altitude]] &lt;= 2500, df_arabica_clean[[#This Row],[Altitude]], ROUND(df_arabica_clean[[#This Row],[Altitude]] / 3.281, 0))</f>
        <v>950</v>
      </c>
      <c r="J23" s="1" t="str">
        <f>IF(df_arabica_clean[[#This Row],[Altitude]]&gt;2500,"Convertido","Original")</f>
        <v>Original</v>
      </c>
      <c r="K23" s="1" t="s">
        <v>862</v>
      </c>
      <c r="L23" s="1" t="s">
        <v>863</v>
      </c>
      <c r="M23">
        <v>960</v>
      </c>
      <c r="N23" s="1" t="s">
        <v>132</v>
      </c>
      <c r="O23" s="1" t="s">
        <v>265</v>
      </c>
      <c r="P23" s="1" t="s">
        <v>134</v>
      </c>
      <c r="Q23" s="1" t="s">
        <v>470</v>
      </c>
      <c r="R23" s="1" t="s">
        <v>861</v>
      </c>
      <c r="S23" s="1" t="s">
        <v>864</v>
      </c>
      <c r="T23" s="1" t="s">
        <v>51</v>
      </c>
      <c r="U23" s="1" t="s">
        <v>118</v>
      </c>
      <c r="V23">
        <v>7.58</v>
      </c>
      <c r="W23">
        <v>7.5</v>
      </c>
      <c r="X23">
        <v>7.5</v>
      </c>
      <c r="Y23">
        <v>7.83</v>
      </c>
      <c r="Z23">
        <v>7.67</v>
      </c>
      <c r="AA23">
        <v>7.5</v>
      </c>
      <c r="AB23">
        <v>10</v>
      </c>
      <c r="AC23">
        <v>10</v>
      </c>
      <c r="AD23">
        <v>10</v>
      </c>
      <c r="AE23">
        <v>7.67</v>
      </c>
      <c r="AF23">
        <v>83.25</v>
      </c>
      <c r="AG23">
        <v>11.6</v>
      </c>
      <c r="AH23">
        <v>0</v>
      </c>
      <c r="AI23">
        <v>0</v>
      </c>
      <c r="AJ23" s="1" t="s">
        <v>53</v>
      </c>
      <c r="AK23">
        <v>4</v>
      </c>
      <c r="AL23" s="1" t="s">
        <v>473</v>
      </c>
      <c r="AM23" s="1" t="s">
        <v>265</v>
      </c>
      <c r="AN23" s="1" t="s">
        <v>269</v>
      </c>
      <c r="AO23" s="1" t="s">
        <v>270</v>
      </c>
      <c r="AP23" s="5">
        <f>AVERAGEIF(df_arabica_clean[Country of Origin],df_arabica_clean[[#This Row],[Country of Origin]],df_arabica_clean[Total Cup Points])</f>
        <v>81.882999999999996</v>
      </c>
      <c r="AQ23" s="1">
        <f>+COUNTIF(df_arabica_clean[Country of Origin],df_arabica_clean[[#This Row],[Country of Origin]])</f>
        <v>10</v>
      </c>
    </row>
    <row r="24" spans="1:43" x14ac:dyDescent="0.25">
      <c r="A24">
        <v>183</v>
      </c>
      <c r="B24">
        <v>183</v>
      </c>
      <c r="C24" s="1" t="s">
        <v>258</v>
      </c>
      <c r="D24" s="1" t="s">
        <v>1125</v>
      </c>
      <c r="E24" s="1" t="s">
        <v>1126</v>
      </c>
      <c r="F24" s="1" t="s">
        <v>1127</v>
      </c>
      <c r="G24" s="1" t="s">
        <v>43</v>
      </c>
      <c r="H24" s="1">
        <v>1000</v>
      </c>
      <c r="I24" s="1">
        <f>IF(df_arabica_clean[[#This Row],[Altitude]] &lt;= 2500, df_arabica_clean[[#This Row],[Altitude]], ROUND(df_arabica_clean[[#This Row],[Altitude]] / 3.281, 0))</f>
        <v>1000</v>
      </c>
      <c r="J24" s="1" t="str">
        <f>IF(df_arabica_clean[[#This Row],[Altitude]]&gt;2500,"Convertido","Original")</f>
        <v>Original</v>
      </c>
      <c r="K24" s="1" t="s">
        <v>1128</v>
      </c>
      <c r="L24" s="1" t="s">
        <v>1129</v>
      </c>
      <c r="M24">
        <v>14</v>
      </c>
      <c r="N24" s="1" t="s">
        <v>192</v>
      </c>
      <c r="O24" s="1" t="s">
        <v>47</v>
      </c>
      <c r="P24" s="1" t="s">
        <v>89</v>
      </c>
      <c r="Q24" s="1" t="s">
        <v>193</v>
      </c>
      <c r="R24" s="1" t="s">
        <v>43</v>
      </c>
      <c r="S24" s="1" t="s">
        <v>1130</v>
      </c>
      <c r="T24" s="1" t="s">
        <v>51</v>
      </c>
      <c r="U24" s="1" t="s">
        <v>188</v>
      </c>
      <c r="V24">
        <v>7.5</v>
      </c>
      <c r="W24">
        <v>7.5</v>
      </c>
      <c r="X24">
        <v>7.42</v>
      </c>
      <c r="Y24">
        <v>7.33</v>
      </c>
      <c r="Z24">
        <v>7.33</v>
      </c>
      <c r="AA24">
        <v>7.33</v>
      </c>
      <c r="AB24">
        <v>10</v>
      </c>
      <c r="AC24">
        <v>10</v>
      </c>
      <c r="AD24">
        <v>10</v>
      </c>
      <c r="AE24">
        <v>7.42</v>
      </c>
      <c r="AF24">
        <v>81.83</v>
      </c>
      <c r="AG24">
        <v>11.3</v>
      </c>
      <c r="AH24">
        <v>0</v>
      </c>
      <c r="AI24">
        <v>0</v>
      </c>
      <c r="AJ24" s="1" t="s">
        <v>368</v>
      </c>
      <c r="AK24">
        <v>2</v>
      </c>
      <c r="AL24" s="1" t="s">
        <v>195</v>
      </c>
      <c r="AM24" s="1" t="s">
        <v>47</v>
      </c>
      <c r="AN24" s="1" t="s">
        <v>55</v>
      </c>
      <c r="AO24" s="1" t="s">
        <v>56</v>
      </c>
      <c r="AP24" s="5">
        <f>AVERAGEIF(df_arabica_clean[Country of Origin],df_arabica_clean[[#This Row],[Country of Origin]],df_arabica_clean[Total Cup Points])</f>
        <v>81.882999999999996</v>
      </c>
      <c r="AQ24" s="1">
        <f>+COUNTIF(df_arabica_clean[Country of Origin],df_arabica_clean[[#This Row],[Country of Origin]])</f>
        <v>10</v>
      </c>
    </row>
    <row r="25" spans="1:43" x14ac:dyDescent="0.25">
      <c r="A25">
        <v>158</v>
      </c>
      <c r="B25">
        <v>158</v>
      </c>
      <c r="C25" s="1" t="s">
        <v>258</v>
      </c>
      <c r="D25" s="1" t="s">
        <v>1010</v>
      </c>
      <c r="E25" s="1" t="s">
        <v>1011</v>
      </c>
      <c r="F25" s="1" t="s">
        <v>1012</v>
      </c>
      <c r="G25" s="1" t="s">
        <v>1013</v>
      </c>
      <c r="H25" s="1">
        <v>1100</v>
      </c>
      <c r="I25" s="1">
        <f>IF(df_arabica_clean[[#This Row],[Altitude]] &lt;= 2500, df_arabica_clean[[#This Row],[Altitude]], ROUND(df_arabica_clean[[#This Row],[Altitude]] / 3.281, 0))</f>
        <v>1100</v>
      </c>
      <c r="J25" s="1" t="str">
        <f>IF(df_arabica_clean[[#This Row],[Altitude]]&gt;2500,"Convertido","Original")</f>
        <v>Original</v>
      </c>
      <c r="K25" s="1" t="s">
        <v>1014</v>
      </c>
      <c r="L25" s="1" t="s">
        <v>1015</v>
      </c>
      <c r="M25">
        <v>620</v>
      </c>
      <c r="N25" s="1" t="s">
        <v>106</v>
      </c>
      <c r="O25" s="1" t="s">
        <v>265</v>
      </c>
      <c r="P25" s="1" t="s">
        <v>134</v>
      </c>
      <c r="Q25" s="1" t="s">
        <v>1016</v>
      </c>
      <c r="R25" s="1" t="s">
        <v>1017</v>
      </c>
      <c r="S25" s="1" t="s">
        <v>864</v>
      </c>
      <c r="T25" s="1" t="s">
        <v>51</v>
      </c>
      <c r="U25" s="1" t="s">
        <v>118</v>
      </c>
      <c r="V25">
        <v>7.5</v>
      </c>
      <c r="W25">
        <v>7.58</v>
      </c>
      <c r="X25">
        <v>7.5</v>
      </c>
      <c r="Y25">
        <v>7.5</v>
      </c>
      <c r="Z25">
        <v>7.67</v>
      </c>
      <c r="AA25">
        <v>7.42</v>
      </c>
      <c r="AB25">
        <v>10</v>
      </c>
      <c r="AC25">
        <v>10</v>
      </c>
      <c r="AD25">
        <v>10</v>
      </c>
      <c r="AE25">
        <v>7.33</v>
      </c>
      <c r="AF25">
        <v>82.5</v>
      </c>
      <c r="AG25">
        <v>11.8</v>
      </c>
      <c r="AH25">
        <v>0</v>
      </c>
      <c r="AI25">
        <v>1</v>
      </c>
      <c r="AJ25" s="1" t="s">
        <v>257</v>
      </c>
      <c r="AK25">
        <v>1</v>
      </c>
      <c r="AL25" s="1" t="s">
        <v>1018</v>
      </c>
      <c r="AM25" s="1" t="s">
        <v>265</v>
      </c>
      <c r="AN25" s="1" t="s">
        <v>269</v>
      </c>
      <c r="AO25" s="1" t="s">
        <v>270</v>
      </c>
      <c r="AP25" s="5">
        <f>AVERAGEIF(df_arabica_clean[Country of Origin],df_arabica_clean[[#This Row],[Country of Origin]],df_arabica_clean[Total Cup Points])</f>
        <v>81.882999999999996</v>
      </c>
      <c r="AQ25" s="1">
        <f>+COUNTIF(df_arabica_clean[Country of Origin],df_arabica_clean[[#This Row],[Country of Origin]])</f>
        <v>10</v>
      </c>
    </row>
    <row r="26" spans="1:43" hidden="1" x14ac:dyDescent="0.25">
      <c r="A26">
        <v>10</v>
      </c>
      <c r="B26">
        <v>10</v>
      </c>
      <c r="C26" s="1" t="s">
        <v>141</v>
      </c>
      <c r="D26" s="1" t="s">
        <v>142</v>
      </c>
      <c r="E26" s="1" t="s">
        <v>143</v>
      </c>
      <c r="F26" s="1" t="s">
        <v>144</v>
      </c>
      <c r="G26" s="1" t="s">
        <v>145</v>
      </c>
      <c r="H26" s="1">
        <v>1800</v>
      </c>
      <c r="I26" s="1">
        <f>IF(df_arabica_clean[[#This Row],[Altitude]] &lt;= 2500, df_arabica_clean[[#This Row],[Altitude]], ROUND(df_arabica_clean[[#This Row],[Altitude]] / 3.281, 0))</f>
        <v>1800</v>
      </c>
      <c r="J26" s="1" t="str">
        <f>IF(df_arabica_clean[[#This Row],[Altitude]]&gt;2500,"Convertido","Original")</f>
        <v>Original</v>
      </c>
      <c r="K26" s="1" t="s">
        <v>146</v>
      </c>
      <c r="L26" s="1" t="s">
        <v>147</v>
      </c>
      <c r="M26">
        <v>10</v>
      </c>
      <c r="N26" s="1" t="s">
        <v>106</v>
      </c>
      <c r="O26" s="1" t="s">
        <v>47</v>
      </c>
      <c r="P26" s="1" t="s">
        <v>48</v>
      </c>
      <c r="Q26" s="1" t="s">
        <v>148</v>
      </c>
      <c r="R26" s="1" t="s">
        <v>149</v>
      </c>
      <c r="S26" s="1" t="s">
        <v>150</v>
      </c>
      <c r="T26" s="1" t="s">
        <v>51</v>
      </c>
      <c r="U26" s="1" t="s">
        <v>118</v>
      </c>
      <c r="V26">
        <v>8.08</v>
      </c>
      <c r="W26">
        <v>8.25</v>
      </c>
      <c r="X26">
        <v>8</v>
      </c>
      <c r="Y26">
        <v>8.08</v>
      </c>
      <c r="Z26">
        <v>7.92</v>
      </c>
      <c r="AA26">
        <v>7.92</v>
      </c>
      <c r="AB26">
        <v>10</v>
      </c>
      <c r="AC26">
        <v>10</v>
      </c>
      <c r="AD26">
        <v>10</v>
      </c>
      <c r="AE26">
        <v>8</v>
      </c>
      <c r="AF26">
        <v>86.25</v>
      </c>
      <c r="AG26">
        <v>11.8</v>
      </c>
      <c r="AH26">
        <v>0</v>
      </c>
      <c r="AI26">
        <v>1</v>
      </c>
      <c r="AJ26" s="1" t="s">
        <v>125</v>
      </c>
      <c r="AK26">
        <v>1</v>
      </c>
      <c r="AL26" s="1" t="s">
        <v>151</v>
      </c>
      <c r="AM26" s="1" t="s">
        <v>47</v>
      </c>
      <c r="AN26" s="1" t="s">
        <v>55</v>
      </c>
      <c r="AO26" s="1" t="s">
        <v>56</v>
      </c>
      <c r="AP26" s="4">
        <f>AVERAGEIF(df_arabica_clean[Country of Origin],df_arabica_clean[[#This Row],[Country of Origin]],df_arabica_clean[Total Cup Points])</f>
        <v>84.960909090909084</v>
      </c>
      <c r="AQ26" s="1">
        <f>+COUNTIF(df_arabica_clean[Country of Origin],df_arabica_clean[[#This Row],[Country of Origin]])</f>
        <v>11</v>
      </c>
    </row>
    <row r="27" spans="1:43" x14ac:dyDescent="0.25">
      <c r="A27">
        <v>56</v>
      </c>
      <c r="B27">
        <v>56</v>
      </c>
      <c r="C27" s="1" t="s">
        <v>258</v>
      </c>
      <c r="D27" s="1" t="s">
        <v>463</v>
      </c>
      <c r="E27" s="1" t="s">
        <v>464</v>
      </c>
      <c r="F27" s="1" t="s">
        <v>465</v>
      </c>
      <c r="G27" s="1" t="s">
        <v>466</v>
      </c>
      <c r="H27" s="1">
        <v>1100</v>
      </c>
      <c r="I27" s="1">
        <f>IF(df_arabica_clean[[#This Row],[Altitude]] &lt;= 2500, df_arabica_clean[[#This Row],[Altitude]], ROUND(df_arabica_clean[[#This Row],[Altitude]] / 3.281, 0))</f>
        <v>1100</v>
      </c>
      <c r="J27" s="1" t="str">
        <f>IF(df_arabica_clean[[#This Row],[Altitude]]&gt;2500,"Convertido","Original")</f>
        <v>Original</v>
      </c>
      <c r="K27" s="1" t="s">
        <v>467</v>
      </c>
      <c r="L27" s="1" t="s">
        <v>468</v>
      </c>
      <c r="M27">
        <v>5</v>
      </c>
      <c r="N27" s="1" t="s">
        <v>469</v>
      </c>
      <c r="O27" s="1" t="s">
        <v>47</v>
      </c>
      <c r="P27" s="1" t="s">
        <v>89</v>
      </c>
      <c r="Q27" s="1" t="s">
        <v>470</v>
      </c>
      <c r="R27" s="1" t="s">
        <v>471</v>
      </c>
      <c r="S27" s="1" t="s">
        <v>428</v>
      </c>
      <c r="T27" s="1" t="s">
        <v>51</v>
      </c>
      <c r="U27" s="1" t="s">
        <v>472</v>
      </c>
      <c r="V27">
        <v>7.83</v>
      </c>
      <c r="W27">
        <v>7.92</v>
      </c>
      <c r="X27">
        <v>7.75</v>
      </c>
      <c r="Y27">
        <v>7.92</v>
      </c>
      <c r="Z27">
        <v>7.67</v>
      </c>
      <c r="AA27">
        <v>7.83</v>
      </c>
      <c r="AB27">
        <v>10</v>
      </c>
      <c r="AC27">
        <v>10</v>
      </c>
      <c r="AD27">
        <v>10</v>
      </c>
      <c r="AE27">
        <v>7.83</v>
      </c>
      <c r="AF27">
        <v>84.75</v>
      </c>
      <c r="AG27">
        <v>11.2</v>
      </c>
      <c r="AH27">
        <v>0</v>
      </c>
      <c r="AI27">
        <v>1</v>
      </c>
      <c r="AJ27" s="1" t="s">
        <v>53</v>
      </c>
      <c r="AK27">
        <v>5</v>
      </c>
      <c r="AL27" s="1" t="s">
        <v>473</v>
      </c>
      <c r="AM27" s="1" t="s">
        <v>47</v>
      </c>
      <c r="AN27" s="1" t="s">
        <v>55</v>
      </c>
      <c r="AO27" s="1" t="s">
        <v>56</v>
      </c>
      <c r="AP27" s="5">
        <f>AVERAGEIF(df_arabica_clean[Country of Origin],df_arabica_clean[[#This Row],[Country of Origin]],df_arabica_clean[Total Cup Points])</f>
        <v>81.882999999999996</v>
      </c>
      <c r="AQ27" s="1">
        <f>+COUNTIF(df_arabica_clean[Country of Origin],df_arabica_clean[[#This Row],[Country of Origin]])</f>
        <v>10</v>
      </c>
    </row>
    <row r="28" spans="1:43" hidden="1" x14ac:dyDescent="0.25">
      <c r="A28">
        <v>90</v>
      </c>
      <c r="B28">
        <v>90</v>
      </c>
      <c r="C28" s="1" t="s">
        <v>141</v>
      </c>
      <c r="D28" s="1" t="s">
        <v>663</v>
      </c>
      <c r="E28" s="1" t="s">
        <v>664</v>
      </c>
      <c r="F28" s="1" t="s">
        <v>665</v>
      </c>
      <c r="G28" s="1" t="s">
        <v>666</v>
      </c>
      <c r="H28" s="1">
        <v>1800</v>
      </c>
      <c r="I28" s="1">
        <f>IF(df_arabica_clean[[#This Row],[Altitude]] &lt;= 2500, df_arabica_clean[[#This Row],[Altitude]], ROUND(df_arabica_clean[[#This Row],[Altitude]] / 3.281, 0))</f>
        <v>1800</v>
      </c>
      <c r="J28" s="1" t="str">
        <f>IF(df_arabica_clean[[#This Row],[Altitude]]&gt;2500,"Convertido","Original")</f>
        <v>Original</v>
      </c>
      <c r="K28" s="1" t="s">
        <v>667</v>
      </c>
      <c r="L28" s="1" t="s">
        <v>663</v>
      </c>
      <c r="M28">
        <v>300</v>
      </c>
      <c r="N28" s="1" t="s">
        <v>132</v>
      </c>
      <c r="O28" s="1" t="s">
        <v>668</v>
      </c>
      <c r="P28" s="1" t="s">
        <v>48</v>
      </c>
      <c r="Q28" s="1" t="s">
        <v>669</v>
      </c>
      <c r="R28" s="1" t="s">
        <v>670</v>
      </c>
      <c r="S28" s="1" t="s">
        <v>150</v>
      </c>
      <c r="T28" s="1" t="s">
        <v>51</v>
      </c>
      <c r="U28" s="1" t="s">
        <v>67</v>
      </c>
      <c r="V28">
        <v>8</v>
      </c>
      <c r="W28">
        <v>7.75</v>
      </c>
      <c r="X28">
        <v>7.5</v>
      </c>
      <c r="Y28">
        <v>7.67</v>
      </c>
      <c r="Z28">
        <v>7.67</v>
      </c>
      <c r="AA28">
        <v>7.67</v>
      </c>
      <c r="AB28">
        <v>10</v>
      </c>
      <c r="AC28">
        <v>10</v>
      </c>
      <c r="AD28">
        <v>10</v>
      </c>
      <c r="AE28">
        <v>7.75</v>
      </c>
      <c r="AF28">
        <v>84</v>
      </c>
      <c r="AG28">
        <v>11.3</v>
      </c>
      <c r="AH28">
        <v>1</v>
      </c>
      <c r="AI28">
        <v>1</v>
      </c>
      <c r="AJ28" s="1" t="s">
        <v>53</v>
      </c>
      <c r="AK28">
        <v>1</v>
      </c>
      <c r="AL28" s="1" t="s">
        <v>671</v>
      </c>
      <c r="AM28" s="1" t="s">
        <v>668</v>
      </c>
      <c r="AN28" s="1" t="s">
        <v>672</v>
      </c>
      <c r="AO28" s="1" t="s">
        <v>673</v>
      </c>
      <c r="AP28" s="1">
        <f>AVERAGEIF(df_arabica_clean[Country of Origin],df_arabica_clean[[#This Row],[Country of Origin]],df_arabica_clean[Total Cup Points])</f>
        <v>84.960909090909084</v>
      </c>
      <c r="AQ28" s="1">
        <f>+COUNTIF(df_arabica_clean[Country of Origin],df_arabica_clean[[#This Row],[Country of Origin]])</f>
        <v>11</v>
      </c>
    </row>
    <row r="29" spans="1:43" x14ac:dyDescent="0.25">
      <c r="A29">
        <v>201</v>
      </c>
      <c r="B29">
        <v>201</v>
      </c>
      <c r="C29" s="1" t="s">
        <v>258</v>
      </c>
      <c r="D29" s="1" t="s">
        <v>1169</v>
      </c>
      <c r="E29" s="1" t="s">
        <v>1205</v>
      </c>
      <c r="F29" s="1" t="s">
        <v>261</v>
      </c>
      <c r="G29" s="1" t="s">
        <v>1206</v>
      </c>
      <c r="H29" s="1">
        <v>1200</v>
      </c>
      <c r="I29" s="1">
        <f>IF(df_arabica_clean[[#This Row],[Altitude]] &lt;= 2500, df_arabica_clean[[#This Row],[Altitude]], ROUND(df_arabica_clean[[#This Row],[Altitude]] / 3.281, 0))</f>
        <v>1200</v>
      </c>
      <c r="J29" s="1" t="str">
        <f>IF(df_arabica_clean[[#This Row],[Altitude]]&gt;2500,"Convertido","Original")</f>
        <v>Original</v>
      </c>
      <c r="K29" s="1" t="s">
        <v>1172</v>
      </c>
      <c r="L29" s="1" t="s">
        <v>1207</v>
      </c>
      <c r="M29">
        <v>440</v>
      </c>
      <c r="N29" s="1" t="s">
        <v>132</v>
      </c>
      <c r="O29" s="1" t="s">
        <v>47</v>
      </c>
      <c r="P29" s="1" t="s">
        <v>48</v>
      </c>
      <c r="Q29" s="1" t="s">
        <v>1208</v>
      </c>
      <c r="R29" s="1" t="s">
        <v>701</v>
      </c>
      <c r="S29" s="1" t="s">
        <v>1209</v>
      </c>
      <c r="T29" s="1" t="s">
        <v>51</v>
      </c>
      <c r="U29" s="1" t="s">
        <v>118</v>
      </c>
      <c r="V29">
        <v>7.25</v>
      </c>
      <c r="W29">
        <v>7.17</v>
      </c>
      <c r="X29">
        <v>7.17</v>
      </c>
      <c r="Y29">
        <v>7.08</v>
      </c>
      <c r="Z29">
        <v>7.17</v>
      </c>
      <c r="AA29">
        <v>7.17</v>
      </c>
      <c r="AB29">
        <v>10</v>
      </c>
      <c r="AC29">
        <v>10</v>
      </c>
      <c r="AD29">
        <v>10</v>
      </c>
      <c r="AE29">
        <v>7.17</v>
      </c>
      <c r="AF29">
        <v>80.17</v>
      </c>
      <c r="AG29">
        <v>11.6</v>
      </c>
      <c r="AH29">
        <v>0</v>
      </c>
      <c r="AI29">
        <v>1</v>
      </c>
      <c r="AJ29" s="1" t="s">
        <v>125</v>
      </c>
      <c r="AK29">
        <v>2</v>
      </c>
      <c r="AL29" s="1" t="s">
        <v>1210</v>
      </c>
      <c r="AM29" s="1" t="s">
        <v>47</v>
      </c>
      <c r="AN29" s="1" t="s">
        <v>55</v>
      </c>
      <c r="AO29" s="1" t="s">
        <v>56</v>
      </c>
      <c r="AP29" s="5">
        <f>AVERAGEIF(df_arabica_clean[Country of Origin],df_arabica_clean[[#This Row],[Country of Origin]],df_arabica_clean[Total Cup Points])</f>
        <v>81.882999999999996</v>
      </c>
      <c r="AQ29" s="1">
        <f>+COUNTIF(df_arabica_clean[Country of Origin],df_arabica_clean[[#This Row],[Country of Origin]])</f>
        <v>10</v>
      </c>
    </row>
    <row r="30" spans="1:43" x14ac:dyDescent="0.25">
      <c r="A30">
        <v>194</v>
      </c>
      <c r="B30">
        <v>194</v>
      </c>
      <c r="C30" s="1" t="s">
        <v>258</v>
      </c>
      <c r="D30" s="1" t="s">
        <v>1169</v>
      </c>
      <c r="E30" s="1" t="s">
        <v>1170</v>
      </c>
      <c r="F30" s="1" t="s">
        <v>1171</v>
      </c>
      <c r="G30" s="1" t="s">
        <v>698</v>
      </c>
      <c r="H30" s="1">
        <v>1200</v>
      </c>
      <c r="I30" s="1">
        <f>IF(df_arabica_clean[[#This Row],[Altitude]] &lt;= 2500, df_arabica_clean[[#This Row],[Altitude]], ROUND(df_arabica_clean[[#This Row],[Altitude]] / 3.281, 0))</f>
        <v>1200</v>
      </c>
      <c r="J30" s="1" t="str">
        <f>IF(df_arabica_clean[[#This Row],[Altitude]]&gt;2500,"Convertido","Original")</f>
        <v>Original</v>
      </c>
      <c r="K30" s="1" t="s">
        <v>1172</v>
      </c>
      <c r="L30" s="1" t="s">
        <v>1173</v>
      </c>
      <c r="M30">
        <v>440</v>
      </c>
      <c r="N30" s="1" t="s">
        <v>132</v>
      </c>
      <c r="O30" s="1" t="s">
        <v>47</v>
      </c>
      <c r="P30" s="1" t="s">
        <v>134</v>
      </c>
      <c r="Q30" s="1" t="s">
        <v>397</v>
      </c>
      <c r="R30" s="1" t="s">
        <v>701</v>
      </c>
      <c r="S30" s="1" t="s">
        <v>42</v>
      </c>
      <c r="T30" s="1" t="s">
        <v>51</v>
      </c>
      <c r="U30" s="1" t="s">
        <v>118</v>
      </c>
      <c r="V30">
        <v>7.42</v>
      </c>
      <c r="W30">
        <v>7.42</v>
      </c>
      <c r="X30">
        <v>7.25</v>
      </c>
      <c r="Y30">
        <v>7.25</v>
      </c>
      <c r="Z30">
        <v>7.17</v>
      </c>
      <c r="AA30">
        <v>7.25</v>
      </c>
      <c r="AB30">
        <v>10</v>
      </c>
      <c r="AC30">
        <v>10</v>
      </c>
      <c r="AD30">
        <v>10</v>
      </c>
      <c r="AE30">
        <v>7.25</v>
      </c>
      <c r="AF30">
        <v>81</v>
      </c>
      <c r="AG30">
        <v>10.6</v>
      </c>
      <c r="AH30">
        <v>0</v>
      </c>
      <c r="AI30">
        <v>2</v>
      </c>
      <c r="AJ30" s="1" t="s">
        <v>125</v>
      </c>
      <c r="AK30">
        <v>1</v>
      </c>
      <c r="AL30" s="1" t="s">
        <v>399</v>
      </c>
      <c r="AM30" s="1" t="s">
        <v>47</v>
      </c>
      <c r="AN30" s="1" t="s">
        <v>55</v>
      </c>
      <c r="AO30" s="1" t="s">
        <v>56</v>
      </c>
      <c r="AP30" s="5">
        <f>AVERAGEIF(df_arabica_clean[Country of Origin],df_arabica_clean[[#This Row],[Country of Origin]],df_arabica_clean[Total Cup Points])</f>
        <v>81.882999999999996</v>
      </c>
      <c r="AQ30" s="1">
        <f>+COUNTIF(df_arabica_clean[Country of Origin],df_arabica_clean[[#This Row],[Country of Origin]])</f>
        <v>10</v>
      </c>
    </row>
    <row r="31" spans="1:43" x14ac:dyDescent="0.25">
      <c r="A31">
        <v>25</v>
      </c>
      <c r="B31">
        <v>25</v>
      </c>
      <c r="C31" s="1" t="s">
        <v>258</v>
      </c>
      <c r="D31" s="1" t="s">
        <v>259</v>
      </c>
      <c r="E31" s="1" t="s">
        <v>260</v>
      </c>
      <c r="F31" s="1" t="s">
        <v>261</v>
      </c>
      <c r="G31" s="1" t="s">
        <v>262</v>
      </c>
      <c r="H31" s="1">
        <v>1250</v>
      </c>
      <c r="I31" s="1">
        <f>IF(df_arabica_clean[[#This Row],[Altitude]] &lt;= 2500, df_arabica_clean[[#This Row],[Altitude]], ROUND(df_arabica_clean[[#This Row],[Altitude]] / 3.281, 0))</f>
        <v>1250</v>
      </c>
      <c r="J31" s="1" t="str">
        <f>IF(df_arabica_clean[[#This Row],[Altitude]]&gt;2500,"Convertido","Original")</f>
        <v>Original</v>
      </c>
      <c r="K31" s="1" t="s">
        <v>263</v>
      </c>
      <c r="L31" s="1" t="s">
        <v>264</v>
      </c>
      <c r="M31">
        <v>25</v>
      </c>
      <c r="N31" s="1" t="s">
        <v>132</v>
      </c>
      <c r="O31" s="1" t="s">
        <v>265</v>
      </c>
      <c r="P31" s="1" t="s">
        <v>89</v>
      </c>
      <c r="Q31" s="1" t="s">
        <v>266</v>
      </c>
      <c r="R31" s="1" t="s">
        <v>267</v>
      </c>
      <c r="S31" s="1" t="s">
        <v>42</v>
      </c>
      <c r="T31" s="1" t="s">
        <v>51</v>
      </c>
      <c r="U31" s="1" t="s">
        <v>188</v>
      </c>
      <c r="V31">
        <v>7.83</v>
      </c>
      <c r="W31">
        <v>8.08</v>
      </c>
      <c r="X31">
        <v>7.83</v>
      </c>
      <c r="Y31">
        <v>7.92</v>
      </c>
      <c r="Z31">
        <v>8</v>
      </c>
      <c r="AA31">
        <v>7.83</v>
      </c>
      <c r="AB31">
        <v>10</v>
      </c>
      <c r="AC31">
        <v>10</v>
      </c>
      <c r="AD31">
        <v>10</v>
      </c>
      <c r="AE31">
        <v>8</v>
      </c>
      <c r="AF31">
        <v>85.5</v>
      </c>
      <c r="AG31">
        <v>11.3</v>
      </c>
      <c r="AH31">
        <v>2</v>
      </c>
      <c r="AI31">
        <v>0</v>
      </c>
      <c r="AJ31" s="1" t="s">
        <v>53</v>
      </c>
      <c r="AK31">
        <v>3</v>
      </c>
      <c r="AL31" s="1" t="s">
        <v>268</v>
      </c>
      <c r="AM31" s="1" t="s">
        <v>265</v>
      </c>
      <c r="AN31" s="1" t="s">
        <v>269</v>
      </c>
      <c r="AO31" s="1" t="s">
        <v>270</v>
      </c>
      <c r="AP31" s="5">
        <f>AVERAGEIF(df_arabica_clean[Country of Origin],df_arabica_clean[[#This Row],[Country of Origin]],df_arabica_clean[Total Cup Points])</f>
        <v>81.882999999999996</v>
      </c>
      <c r="AQ31" s="1">
        <f>+COUNTIF(df_arabica_clean[Country of Origin],df_arabica_clean[[#This Row],[Country of Origin]])</f>
        <v>10</v>
      </c>
    </row>
    <row r="32" spans="1:43" x14ac:dyDescent="0.25">
      <c r="A32">
        <v>197</v>
      </c>
      <c r="B32">
        <v>197</v>
      </c>
      <c r="C32" s="1" t="s">
        <v>519</v>
      </c>
      <c r="D32" s="1" t="s">
        <v>1188</v>
      </c>
      <c r="E32" s="1" t="s">
        <v>235</v>
      </c>
      <c r="F32" s="1" t="s">
        <v>1188</v>
      </c>
      <c r="G32" s="1" t="s">
        <v>1189</v>
      </c>
      <c r="H32" s="1">
        <v>1000</v>
      </c>
      <c r="I32" s="1">
        <f>IF(df_arabica_clean[[#This Row],[Altitude]] &lt;= 2500, df_arabica_clean[[#This Row],[Altitude]], ROUND(df_arabica_clean[[#This Row],[Altitude]] / 3.281, 0))</f>
        <v>1000</v>
      </c>
      <c r="J32" s="1" t="str">
        <f>IF(df_arabica_clean[[#This Row],[Altitude]]&gt;2500,"Convertido","Original")</f>
        <v>Original</v>
      </c>
      <c r="K32" s="1" t="s">
        <v>1190</v>
      </c>
      <c r="L32" s="1" t="s">
        <v>1188</v>
      </c>
      <c r="M32">
        <v>275</v>
      </c>
      <c r="N32" s="1" t="s">
        <v>415</v>
      </c>
      <c r="O32" s="1" t="s">
        <v>955</v>
      </c>
      <c r="P32" s="1" t="s">
        <v>134</v>
      </c>
      <c r="Q32" s="1" t="s">
        <v>1191</v>
      </c>
      <c r="R32" s="1" t="s">
        <v>1189</v>
      </c>
      <c r="S32" s="1" t="s">
        <v>747</v>
      </c>
      <c r="T32" s="1" t="s">
        <v>51</v>
      </c>
      <c r="U32" s="1" t="s">
        <v>67</v>
      </c>
      <c r="V32">
        <v>7.42</v>
      </c>
      <c r="W32">
        <v>7.17</v>
      </c>
      <c r="X32">
        <v>7</v>
      </c>
      <c r="Y32">
        <v>7.08</v>
      </c>
      <c r="Z32">
        <v>7.42</v>
      </c>
      <c r="AA32">
        <v>7.17</v>
      </c>
      <c r="AB32">
        <v>10</v>
      </c>
      <c r="AC32">
        <v>10</v>
      </c>
      <c r="AD32">
        <v>10</v>
      </c>
      <c r="AE32">
        <v>7.17</v>
      </c>
      <c r="AF32">
        <v>80.42</v>
      </c>
      <c r="AG32">
        <v>11.2</v>
      </c>
      <c r="AH32">
        <v>0</v>
      </c>
      <c r="AI32">
        <v>0</v>
      </c>
      <c r="AJ32" s="1" t="s">
        <v>53</v>
      </c>
      <c r="AK32">
        <v>5</v>
      </c>
      <c r="AL32" s="1" t="s">
        <v>1192</v>
      </c>
      <c r="AM32" s="1" t="s">
        <v>955</v>
      </c>
      <c r="AN32" s="1" t="s">
        <v>959</v>
      </c>
      <c r="AO32" s="1" t="s">
        <v>960</v>
      </c>
      <c r="AP32" s="5">
        <f>AVERAGEIF(df_arabica_clean[Country of Origin],df_arabica_clean[[#This Row],[Country of Origin]],df_arabica_clean[Total Cup Points])</f>
        <v>81.892857142857139</v>
      </c>
      <c r="AQ32" s="1">
        <f>+COUNTIF(df_arabica_clean[Country of Origin],df_arabica_clean[[#This Row],[Country of Origin]])</f>
        <v>7</v>
      </c>
    </row>
    <row r="33" spans="1:43" hidden="1" x14ac:dyDescent="0.25">
      <c r="A33">
        <v>35</v>
      </c>
      <c r="B33">
        <v>35</v>
      </c>
      <c r="C33" s="1" t="s">
        <v>141</v>
      </c>
      <c r="D33" s="1" t="s">
        <v>321</v>
      </c>
      <c r="E33" s="1" t="s">
        <v>235</v>
      </c>
      <c r="F33" s="1" t="s">
        <v>322</v>
      </c>
      <c r="G33" s="1" t="s">
        <v>323</v>
      </c>
      <c r="H33" s="1">
        <v>1700</v>
      </c>
      <c r="I33" s="1">
        <f>IF(df_arabica_clean[[#This Row],[Altitude]] &lt;= 2500, df_arabica_clean[[#This Row],[Altitude]], ROUND(df_arabica_clean[[#This Row],[Altitude]] / 3.281, 0))</f>
        <v>1700</v>
      </c>
      <c r="J33" s="1" t="str">
        <f>IF(df_arabica_clean[[#This Row],[Altitude]]&gt;2500,"Convertido","Original")</f>
        <v>Original</v>
      </c>
      <c r="K33" s="1" t="s">
        <v>324</v>
      </c>
      <c r="L33" s="1" t="s">
        <v>325</v>
      </c>
      <c r="M33">
        <v>320</v>
      </c>
      <c r="N33" s="1" t="s">
        <v>326</v>
      </c>
      <c r="O33" s="1" t="s">
        <v>172</v>
      </c>
      <c r="P33" s="1" t="s">
        <v>48</v>
      </c>
      <c r="Q33" s="1" t="s">
        <v>229</v>
      </c>
      <c r="R33" s="1" t="s">
        <v>325</v>
      </c>
      <c r="S33" s="1" t="s">
        <v>150</v>
      </c>
      <c r="T33" s="1" t="s">
        <v>51</v>
      </c>
      <c r="U33" s="1" t="s">
        <v>67</v>
      </c>
      <c r="V33">
        <v>7.92</v>
      </c>
      <c r="W33">
        <v>7.75</v>
      </c>
      <c r="X33">
        <v>7.83</v>
      </c>
      <c r="Y33">
        <v>8.17</v>
      </c>
      <c r="Z33">
        <v>8</v>
      </c>
      <c r="AA33">
        <v>7.75</v>
      </c>
      <c r="AB33">
        <v>10</v>
      </c>
      <c r="AC33">
        <v>10</v>
      </c>
      <c r="AD33">
        <v>10</v>
      </c>
      <c r="AE33">
        <v>7.83</v>
      </c>
      <c r="AF33">
        <v>85.25</v>
      </c>
      <c r="AG33">
        <v>9.4</v>
      </c>
      <c r="AH33">
        <v>0</v>
      </c>
      <c r="AI33">
        <v>1</v>
      </c>
      <c r="AJ33" s="1" t="s">
        <v>125</v>
      </c>
      <c r="AK33">
        <v>1</v>
      </c>
      <c r="AL33" s="1" t="s">
        <v>232</v>
      </c>
      <c r="AM33" s="1" t="s">
        <v>172</v>
      </c>
      <c r="AN33" s="1" t="s">
        <v>177</v>
      </c>
      <c r="AO33" s="1" t="s">
        <v>178</v>
      </c>
      <c r="AP33" s="1">
        <f>AVERAGEIF(df_arabica_clean[Country of Origin],df_arabica_clean[[#This Row],[Country of Origin]],df_arabica_clean[Total Cup Points])</f>
        <v>84.960909090909084</v>
      </c>
      <c r="AQ33" s="1">
        <f>+COUNTIF(df_arabica_clean[Country of Origin],df_arabica_clean[[#This Row],[Country of Origin]])</f>
        <v>11</v>
      </c>
    </row>
    <row r="34" spans="1:43" hidden="1" x14ac:dyDescent="0.25">
      <c r="A34">
        <v>116</v>
      </c>
      <c r="B34">
        <v>116</v>
      </c>
      <c r="C34" s="1" t="s">
        <v>141</v>
      </c>
      <c r="D34" s="1" t="s">
        <v>321</v>
      </c>
      <c r="E34" s="1" t="s">
        <v>235</v>
      </c>
      <c r="F34" s="1" t="s">
        <v>322</v>
      </c>
      <c r="G34" s="1" t="s">
        <v>323</v>
      </c>
      <c r="H34" s="1">
        <v>1700</v>
      </c>
      <c r="I34" s="1">
        <f>IF(df_arabica_clean[[#This Row],[Altitude]] &lt;= 2500, df_arabica_clean[[#This Row],[Altitude]], ROUND(df_arabica_clean[[#This Row],[Altitude]] / 3.281, 0))</f>
        <v>1700</v>
      </c>
      <c r="J34" s="1" t="str">
        <f>IF(df_arabica_clean[[#This Row],[Altitude]]&gt;2500,"Convertido","Original")</f>
        <v>Original</v>
      </c>
      <c r="K34" s="1" t="s">
        <v>324</v>
      </c>
      <c r="L34" s="1" t="s">
        <v>325</v>
      </c>
      <c r="M34">
        <v>320</v>
      </c>
      <c r="N34" s="1" t="s">
        <v>326</v>
      </c>
      <c r="O34" s="1" t="s">
        <v>172</v>
      </c>
      <c r="P34" s="1" t="s">
        <v>48</v>
      </c>
      <c r="Q34" s="1" t="s">
        <v>804</v>
      </c>
      <c r="R34" s="1" t="s">
        <v>325</v>
      </c>
      <c r="S34" s="1" t="s">
        <v>150</v>
      </c>
      <c r="T34" s="1" t="s">
        <v>51</v>
      </c>
      <c r="U34" s="1" t="s">
        <v>67</v>
      </c>
      <c r="V34">
        <v>7.42</v>
      </c>
      <c r="W34">
        <v>7.42</v>
      </c>
      <c r="X34">
        <v>7.42</v>
      </c>
      <c r="Y34">
        <v>8</v>
      </c>
      <c r="Z34">
        <v>7.92</v>
      </c>
      <c r="AA34">
        <v>7.67</v>
      </c>
      <c r="AB34">
        <v>10</v>
      </c>
      <c r="AC34">
        <v>10</v>
      </c>
      <c r="AD34">
        <v>10</v>
      </c>
      <c r="AE34">
        <v>7.67</v>
      </c>
      <c r="AF34">
        <v>83.5</v>
      </c>
      <c r="AG34">
        <v>10.4</v>
      </c>
      <c r="AH34">
        <v>0</v>
      </c>
      <c r="AI34">
        <v>1</v>
      </c>
      <c r="AJ34" s="1" t="s">
        <v>125</v>
      </c>
      <c r="AK34">
        <v>11</v>
      </c>
      <c r="AL34" s="1" t="s">
        <v>805</v>
      </c>
      <c r="AM34" s="1" t="s">
        <v>172</v>
      </c>
      <c r="AN34" s="1" t="s">
        <v>177</v>
      </c>
      <c r="AO34" s="1" t="s">
        <v>178</v>
      </c>
      <c r="AP34" s="4">
        <f>AVERAGEIF(df_arabica_clean[Country of Origin],df_arabica_clean[[#This Row],[Country of Origin]],df_arabica_clean[Total Cup Points])</f>
        <v>84.960909090909084</v>
      </c>
      <c r="AQ34" s="1">
        <f>+COUNTIF(df_arabica_clean[Country of Origin],df_arabica_clean[[#This Row],[Country of Origin]])</f>
        <v>11</v>
      </c>
    </row>
    <row r="35" spans="1:43" x14ac:dyDescent="0.25">
      <c r="A35">
        <v>196</v>
      </c>
      <c r="B35">
        <v>196</v>
      </c>
      <c r="C35" s="1" t="s">
        <v>519</v>
      </c>
      <c r="D35" s="1" t="s">
        <v>1183</v>
      </c>
      <c r="E35" s="1" t="s">
        <v>1184</v>
      </c>
      <c r="F35" s="1" t="s">
        <v>1185</v>
      </c>
      <c r="G35" s="1" t="s">
        <v>1186</v>
      </c>
      <c r="H35" s="1">
        <v>1100</v>
      </c>
      <c r="I35" s="1">
        <f>IF(df_arabica_clean[[#This Row],[Altitude]] &lt;= 2500, df_arabica_clean[[#This Row],[Altitude]], ROUND(df_arabica_clean[[#This Row],[Altitude]] / 3.281, 0))</f>
        <v>1100</v>
      </c>
      <c r="J35" s="1" t="str">
        <f>IF(df_arabica_clean[[#This Row],[Altitude]]&gt;2500,"Convertido","Original")</f>
        <v>Original</v>
      </c>
      <c r="K35" s="1" t="s">
        <v>42</v>
      </c>
      <c r="L35" s="1" t="s">
        <v>492</v>
      </c>
      <c r="M35">
        <v>275</v>
      </c>
      <c r="N35" s="1" t="s">
        <v>415</v>
      </c>
      <c r="O35" s="1" t="s">
        <v>47</v>
      </c>
      <c r="P35" s="1" t="s">
        <v>158</v>
      </c>
      <c r="Q35" s="1" t="s">
        <v>968</v>
      </c>
      <c r="R35" s="1" t="s">
        <v>1187</v>
      </c>
      <c r="S35" s="1" t="s">
        <v>184</v>
      </c>
      <c r="T35" s="1" t="s">
        <v>51</v>
      </c>
      <c r="U35" s="1" t="s">
        <v>67</v>
      </c>
      <c r="V35">
        <v>7.25</v>
      </c>
      <c r="W35">
        <v>7.25</v>
      </c>
      <c r="X35">
        <v>7.17</v>
      </c>
      <c r="Y35">
        <v>7.33</v>
      </c>
      <c r="Z35">
        <v>7.08</v>
      </c>
      <c r="AA35">
        <v>7.25</v>
      </c>
      <c r="AB35">
        <v>10</v>
      </c>
      <c r="AC35">
        <v>10</v>
      </c>
      <c r="AD35">
        <v>10</v>
      </c>
      <c r="AE35">
        <v>7.17</v>
      </c>
      <c r="AF35">
        <v>80.5</v>
      </c>
      <c r="AG35">
        <v>11.5</v>
      </c>
      <c r="AH35">
        <v>0</v>
      </c>
      <c r="AI35">
        <v>1</v>
      </c>
      <c r="AJ35" s="1" t="s">
        <v>125</v>
      </c>
      <c r="AK35">
        <v>3</v>
      </c>
      <c r="AL35" s="1" t="s">
        <v>970</v>
      </c>
      <c r="AM35" s="1" t="s">
        <v>47</v>
      </c>
      <c r="AN35" s="1" t="s">
        <v>55</v>
      </c>
      <c r="AO35" s="1" t="s">
        <v>56</v>
      </c>
      <c r="AP35" s="5">
        <f>AVERAGEIF(df_arabica_clean[Country of Origin],df_arabica_clean[[#This Row],[Country of Origin]],df_arabica_clean[Total Cup Points])</f>
        <v>81.892857142857139</v>
      </c>
      <c r="AQ35" s="1">
        <f>+COUNTIF(df_arabica_clean[Country of Origin],df_arabica_clean[[#This Row],[Country of Origin]])</f>
        <v>7</v>
      </c>
    </row>
    <row r="36" spans="1:43" x14ac:dyDescent="0.25">
      <c r="A36">
        <v>163</v>
      </c>
      <c r="B36">
        <v>163</v>
      </c>
      <c r="C36" s="1" t="s">
        <v>519</v>
      </c>
      <c r="D36" s="1" t="s">
        <v>1032</v>
      </c>
      <c r="E36" s="1" t="s">
        <v>235</v>
      </c>
      <c r="F36" s="1" t="s">
        <v>1033</v>
      </c>
      <c r="G36" s="1" t="s">
        <v>837</v>
      </c>
      <c r="H36" s="1">
        <v>1200</v>
      </c>
      <c r="I36" s="1">
        <f>IF(df_arabica_clean[[#This Row],[Altitude]] &lt;= 2500, df_arabica_clean[[#This Row],[Altitude]], ROUND(df_arabica_clean[[#This Row],[Altitude]] / 3.281, 0))</f>
        <v>1200</v>
      </c>
      <c r="J36" s="1" t="str">
        <f>IF(df_arabica_clean[[#This Row],[Altitude]]&gt;2500,"Convertido","Original")</f>
        <v>Original</v>
      </c>
      <c r="K36" s="1" t="s">
        <v>1034</v>
      </c>
      <c r="L36" s="1" t="s">
        <v>1035</v>
      </c>
      <c r="M36">
        <v>275</v>
      </c>
      <c r="N36" s="1" t="s">
        <v>415</v>
      </c>
      <c r="O36" s="1" t="s">
        <v>64</v>
      </c>
      <c r="P36" s="1" t="s">
        <v>48</v>
      </c>
      <c r="Q36" s="1" t="s">
        <v>359</v>
      </c>
      <c r="R36" s="1" t="s">
        <v>840</v>
      </c>
      <c r="S36" s="1" t="s">
        <v>1036</v>
      </c>
      <c r="T36" s="1" t="s">
        <v>51</v>
      </c>
      <c r="U36" s="1" t="s">
        <v>67</v>
      </c>
      <c r="V36">
        <v>7.58</v>
      </c>
      <c r="W36">
        <v>7.58</v>
      </c>
      <c r="X36">
        <v>7.42</v>
      </c>
      <c r="Y36">
        <v>7.42</v>
      </c>
      <c r="Z36">
        <v>7.5</v>
      </c>
      <c r="AA36">
        <v>7.5</v>
      </c>
      <c r="AB36">
        <v>10</v>
      </c>
      <c r="AC36">
        <v>10</v>
      </c>
      <c r="AD36">
        <v>10</v>
      </c>
      <c r="AE36">
        <v>7.42</v>
      </c>
      <c r="AF36">
        <v>82.42</v>
      </c>
      <c r="AG36">
        <v>11.4</v>
      </c>
      <c r="AH36">
        <v>0</v>
      </c>
      <c r="AI36">
        <v>0</v>
      </c>
      <c r="AJ36" s="1" t="s">
        <v>257</v>
      </c>
      <c r="AK36">
        <v>0</v>
      </c>
      <c r="AL36" s="1" t="s">
        <v>361</v>
      </c>
      <c r="AM36" s="1" t="s">
        <v>64</v>
      </c>
      <c r="AN36" s="1" t="s">
        <v>70</v>
      </c>
      <c r="AO36" s="1" t="s">
        <v>71</v>
      </c>
      <c r="AP36" s="5">
        <f>AVERAGEIF(df_arabica_clean[Country of Origin],df_arabica_clean[[#This Row],[Country of Origin]],df_arabica_clean[Total Cup Points])</f>
        <v>81.892857142857139</v>
      </c>
      <c r="AQ36" s="1">
        <f>+COUNTIF(df_arabica_clean[Country of Origin],df_arabica_clean[[#This Row],[Country of Origin]])</f>
        <v>7</v>
      </c>
    </row>
    <row r="37" spans="1:43" x14ac:dyDescent="0.25">
      <c r="A37">
        <v>203</v>
      </c>
      <c r="B37">
        <v>203</v>
      </c>
      <c r="C37" s="1" t="s">
        <v>519</v>
      </c>
      <c r="D37" s="1" t="s">
        <v>949</v>
      </c>
      <c r="E37" s="1" t="s">
        <v>1215</v>
      </c>
      <c r="F37" s="1" t="s">
        <v>951</v>
      </c>
      <c r="G37" s="1" t="s">
        <v>952</v>
      </c>
      <c r="H37" s="1">
        <v>1200</v>
      </c>
      <c r="I37" s="1">
        <f>IF(df_arabica_clean[[#This Row],[Altitude]] &lt;= 2500, df_arabica_clean[[#This Row],[Altitude]], ROUND(df_arabica_clean[[#This Row],[Altitude]] / 3.281, 0))</f>
        <v>1200</v>
      </c>
      <c r="J37" s="1" t="str">
        <f>IF(df_arabica_clean[[#This Row],[Altitude]]&gt;2500,"Convertido","Original")</f>
        <v>Original</v>
      </c>
      <c r="K37" s="1" t="s">
        <v>953</v>
      </c>
      <c r="L37" s="1" t="s">
        <v>954</v>
      </c>
      <c r="M37">
        <v>300</v>
      </c>
      <c r="N37" s="1" t="s">
        <v>106</v>
      </c>
      <c r="O37" s="1" t="s">
        <v>955</v>
      </c>
      <c r="P37" s="1" t="s">
        <v>134</v>
      </c>
      <c r="Q37" s="1" t="s">
        <v>1002</v>
      </c>
      <c r="R37" s="1" t="s">
        <v>957</v>
      </c>
      <c r="S37" s="1" t="s">
        <v>789</v>
      </c>
      <c r="T37" s="1" t="s">
        <v>51</v>
      </c>
      <c r="U37" s="1" t="s">
        <v>118</v>
      </c>
      <c r="V37">
        <v>7.33</v>
      </c>
      <c r="W37">
        <v>7.08</v>
      </c>
      <c r="X37">
        <v>6.75</v>
      </c>
      <c r="Y37">
        <v>7.17</v>
      </c>
      <c r="Z37">
        <v>7.42</v>
      </c>
      <c r="AA37">
        <v>7.17</v>
      </c>
      <c r="AB37">
        <v>10</v>
      </c>
      <c r="AC37">
        <v>10</v>
      </c>
      <c r="AD37">
        <v>10</v>
      </c>
      <c r="AE37">
        <v>7.08</v>
      </c>
      <c r="AF37">
        <v>80</v>
      </c>
      <c r="AG37">
        <v>10.4</v>
      </c>
      <c r="AH37">
        <v>0</v>
      </c>
      <c r="AI37">
        <v>2</v>
      </c>
      <c r="AJ37" s="1" t="s">
        <v>53</v>
      </c>
      <c r="AK37">
        <v>12</v>
      </c>
      <c r="AL37" s="1" t="s">
        <v>1003</v>
      </c>
      <c r="AM37" s="1" t="s">
        <v>955</v>
      </c>
      <c r="AN37" s="1" t="s">
        <v>959</v>
      </c>
      <c r="AO37" s="1" t="s">
        <v>960</v>
      </c>
      <c r="AP37" s="5">
        <f>AVERAGEIF(df_arabica_clean[Country of Origin],df_arabica_clean[[#This Row],[Country of Origin]],df_arabica_clean[Total Cup Points])</f>
        <v>81.892857142857139</v>
      </c>
      <c r="AQ37" s="1">
        <f>+COUNTIF(df_arabica_clean[Country of Origin],df_arabica_clean[[#This Row],[Country of Origin]])</f>
        <v>7</v>
      </c>
    </row>
    <row r="38" spans="1:43" hidden="1" x14ac:dyDescent="0.25">
      <c r="A38">
        <v>53</v>
      </c>
      <c r="B38">
        <v>53</v>
      </c>
      <c r="C38" s="1" t="s">
        <v>126</v>
      </c>
      <c r="D38" s="1" t="s">
        <v>447</v>
      </c>
      <c r="E38" s="1" t="s">
        <v>448</v>
      </c>
      <c r="F38" s="1" t="s">
        <v>449</v>
      </c>
      <c r="G38" s="1" t="s">
        <v>450</v>
      </c>
      <c r="H38" s="1">
        <v>1654</v>
      </c>
      <c r="I38" s="1">
        <f>IF(df_arabica_clean[[#This Row],[Altitude]] &lt;= 2500, df_arabica_clean[[#This Row],[Altitude]], ROUND(df_arabica_clean[[#This Row],[Altitude]] / 3.281, 0))</f>
        <v>1654</v>
      </c>
      <c r="J38" s="1" t="str">
        <f>IF(df_arabica_clean[[#This Row],[Altitude]]&gt;2500,"Convertido","Original")</f>
        <v>Original</v>
      </c>
      <c r="K38" s="1" t="s">
        <v>451</v>
      </c>
      <c r="L38" s="1" t="s">
        <v>452</v>
      </c>
      <c r="M38">
        <v>620</v>
      </c>
      <c r="N38" s="1" t="s">
        <v>106</v>
      </c>
      <c r="O38" s="1" t="s">
        <v>133</v>
      </c>
      <c r="P38" s="1" t="s">
        <v>134</v>
      </c>
      <c r="Q38" s="1" t="s">
        <v>453</v>
      </c>
      <c r="R38" s="1" t="s">
        <v>454</v>
      </c>
      <c r="S38" s="1" t="s">
        <v>137</v>
      </c>
      <c r="T38" s="1" t="s">
        <v>51</v>
      </c>
      <c r="U38" s="1" t="s">
        <v>67</v>
      </c>
      <c r="V38">
        <v>7.92</v>
      </c>
      <c r="W38">
        <v>7.75</v>
      </c>
      <c r="X38">
        <v>7.75</v>
      </c>
      <c r="Y38">
        <v>7.92</v>
      </c>
      <c r="Z38">
        <v>7.83</v>
      </c>
      <c r="AA38">
        <v>7.83</v>
      </c>
      <c r="AB38">
        <v>10</v>
      </c>
      <c r="AC38">
        <v>10</v>
      </c>
      <c r="AD38">
        <v>10</v>
      </c>
      <c r="AE38">
        <v>7.83</v>
      </c>
      <c r="AF38">
        <v>84.83</v>
      </c>
      <c r="AG38">
        <v>11.2</v>
      </c>
      <c r="AH38">
        <v>0</v>
      </c>
      <c r="AI38">
        <v>0</v>
      </c>
      <c r="AJ38" s="1" t="s">
        <v>125</v>
      </c>
      <c r="AK38">
        <v>0</v>
      </c>
      <c r="AL38" s="1" t="s">
        <v>455</v>
      </c>
      <c r="AM38" s="1" t="s">
        <v>133</v>
      </c>
      <c r="AN38" s="1" t="s">
        <v>139</v>
      </c>
      <c r="AO38" s="1" t="s">
        <v>140</v>
      </c>
      <c r="AP38" s="4">
        <f>AVERAGEIF(df_arabica_clean[Country of Origin],df_arabica_clean[[#This Row],[Country of Origin]],df_arabica_clean[Total Cup Points])</f>
        <v>84.734999999999999</v>
      </c>
      <c r="AQ38" s="1">
        <f>+COUNTIF(df_arabica_clean[Country of Origin],df_arabica_clean[[#This Row],[Country of Origin]])</f>
        <v>6</v>
      </c>
    </row>
    <row r="39" spans="1:43" x14ac:dyDescent="0.25">
      <c r="A39">
        <v>147</v>
      </c>
      <c r="B39">
        <v>147</v>
      </c>
      <c r="C39" s="1" t="s">
        <v>519</v>
      </c>
      <c r="D39" s="1" t="s">
        <v>949</v>
      </c>
      <c r="E39" s="1" t="s">
        <v>950</v>
      </c>
      <c r="F39" s="1" t="s">
        <v>951</v>
      </c>
      <c r="G39" s="1" t="s">
        <v>952</v>
      </c>
      <c r="H39" s="1">
        <v>1200</v>
      </c>
      <c r="I39" s="1">
        <f>IF(df_arabica_clean[[#This Row],[Altitude]] &lt;= 2500, df_arabica_clean[[#This Row],[Altitude]], ROUND(df_arabica_clean[[#This Row],[Altitude]] / 3.281, 0))</f>
        <v>1200</v>
      </c>
      <c r="J39" s="1" t="str">
        <f>IF(df_arabica_clean[[#This Row],[Altitude]]&gt;2500,"Convertido","Original")</f>
        <v>Original</v>
      </c>
      <c r="K39" s="1" t="s">
        <v>953</v>
      </c>
      <c r="L39" s="1" t="s">
        <v>954</v>
      </c>
      <c r="M39">
        <v>275</v>
      </c>
      <c r="N39" s="1" t="s">
        <v>415</v>
      </c>
      <c r="O39" s="1" t="s">
        <v>955</v>
      </c>
      <c r="P39" s="1" t="s">
        <v>134</v>
      </c>
      <c r="Q39" s="1" t="s">
        <v>956</v>
      </c>
      <c r="R39" s="1" t="s">
        <v>957</v>
      </c>
      <c r="S39" s="1" t="s">
        <v>789</v>
      </c>
      <c r="T39" s="1" t="s">
        <v>51</v>
      </c>
      <c r="U39" s="1" t="s">
        <v>118</v>
      </c>
      <c r="V39">
        <v>7.33</v>
      </c>
      <c r="W39">
        <v>7.58</v>
      </c>
      <c r="X39">
        <v>7.25</v>
      </c>
      <c r="Y39">
        <v>7.33</v>
      </c>
      <c r="Z39">
        <v>7.75</v>
      </c>
      <c r="AA39">
        <v>8.17</v>
      </c>
      <c r="AB39">
        <v>10</v>
      </c>
      <c r="AC39">
        <v>10</v>
      </c>
      <c r="AD39">
        <v>10</v>
      </c>
      <c r="AE39">
        <v>7.33</v>
      </c>
      <c r="AF39">
        <v>82.75</v>
      </c>
      <c r="AG39">
        <v>10.5</v>
      </c>
      <c r="AH39">
        <v>5</v>
      </c>
      <c r="AI39">
        <v>2</v>
      </c>
      <c r="AJ39" s="1" t="s">
        <v>53</v>
      </c>
      <c r="AK39">
        <v>1</v>
      </c>
      <c r="AL39" s="1" t="s">
        <v>958</v>
      </c>
      <c r="AM39" s="1" t="s">
        <v>955</v>
      </c>
      <c r="AN39" s="1" t="s">
        <v>959</v>
      </c>
      <c r="AO39" s="1" t="s">
        <v>960</v>
      </c>
      <c r="AP39" s="5">
        <f>AVERAGEIF(df_arabica_clean[Country of Origin],df_arabica_clean[[#This Row],[Country of Origin]],df_arabica_clean[Total Cup Points])</f>
        <v>81.892857142857139</v>
      </c>
      <c r="AQ39" s="1">
        <f>+COUNTIF(df_arabica_clean[Country of Origin],df_arabica_clean[[#This Row],[Country of Origin]])</f>
        <v>7</v>
      </c>
    </row>
    <row r="40" spans="1:43" x14ac:dyDescent="0.25">
      <c r="A40">
        <v>155</v>
      </c>
      <c r="B40">
        <v>155</v>
      </c>
      <c r="C40" s="1" t="s">
        <v>519</v>
      </c>
      <c r="D40" s="1" t="s">
        <v>520</v>
      </c>
      <c r="E40" s="1" t="s">
        <v>993</v>
      </c>
      <c r="F40" s="1" t="s">
        <v>522</v>
      </c>
      <c r="G40" s="1" t="s">
        <v>523</v>
      </c>
      <c r="H40" s="1">
        <v>1350</v>
      </c>
      <c r="I40" s="1">
        <f>IF(df_arabica_clean[[#This Row],[Altitude]] &lt;= 2500, df_arabica_clean[[#This Row],[Altitude]], ROUND(df_arabica_clean[[#This Row],[Altitude]] / 3.281, 0))</f>
        <v>1350</v>
      </c>
      <c r="J40" s="1" t="str">
        <f>IF(df_arabica_clean[[#This Row],[Altitude]]&gt;2500,"Convertido","Original")</f>
        <v>Original</v>
      </c>
      <c r="K40" s="1" t="s">
        <v>524</v>
      </c>
      <c r="L40" s="1" t="s">
        <v>523</v>
      </c>
      <c r="M40">
        <v>120</v>
      </c>
      <c r="N40" s="1" t="s">
        <v>525</v>
      </c>
      <c r="O40" s="1" t="s">
        <v>526</v>
      </c>
      <c r="P40" s="1" t="s">
        <v>48</v>
      </c>
      <c r="Q40" s="1" t="s">
        <v>994</v>
      </c>
      <c r="R40" s="1" t="s">
        <v>528</v>
      </c>
      <c r="S40" s="1" t="s">
        <v>770</v>
      </c>
      <c r="T40" s="1" t="s">
        <v>51</v>
      </c>
      <c r="U40" s="1" t="s">
        <v>67</v>
      </c>
      <c r="V40">
        <v>7.5</v>
      </c>
      <c r="W40">
        <v>7.58</v>
      </c>
      <c r="X40">
        <v>7.42</v>
      </c>
      <c r="Y40">
        <v>7.58</v>
      </c>
      <c r="Z40">
        <v>7.5</v>
      </c>
      <c r="AA40">
        <v>7.58</v>
      </c>
      <c r="AB40">
        <v>10</v>
      </c>
      <c r="AC40">
        <v>10</v>
      </c>
      <c r="AD40">
        <v>10</v>
      </c>
      <c r="AE40">
        <v>7.42</v>
      </c>
      <c r="AF40">
        <v>82.58</v>
      </c>
      <c r="AG40">
        <v>10.1</v>
      </c>
      <c r="AH40">
        <v>0</v>
      </c>
      <c r="AI40">
        <v>0</v>
      </c>
      <c r="AJ40" s="1" t="s">
        <v>53</v>
      </c>
      <c r="AK40">
        <v>0</v>
      </c>
      <c r="AL40" s="1" t="s">
        <v>995</v>
      </c>
      <c r="AM40" s="1" t="s">
        <v>526</v>
      </c>
      <c r="AN40" s="1" t="s">
        <v>531</v>
      </c>
      <c r="AO40" s="1" t="s">
        <v>532</v>
      </c>
      <c r="AP40" s="5">
        <f>AVERAGEIF(df_arabica_clean[Country of Origin],df_arabica_clean[[#This Row],[Country of Origin]],df_arabica_clean[Total Cup Points])</f>
        <v>81.892857142857139</v>
      </c>
      <c r="AQ40" s="1">
        <f>+COUNTIF(df_arabica_clean[Country of Origin],df_arabica_clean[[#This Row],[Country of Origin]])</f>
        <v>7</v>
      </c>
    </row>
    <row r="41" spans="1:43" hidden="1" x14ac:dyDescent="0.25">
      <c r="A41">
        <v>89</v>
      </c>
      <c r="B41">
        <v>89</v>
      </c>
      <c r="C41" s="1" t="s">
        <v>126</v>
      </c>
      <c r="D41" s="1" t="s">
        <v>655</v>
      </c>
      <c r="E41" s="1" t="s">
        <v>656</v>
      </c>
      <c r="F41" s="1" t="s">
        <v>657</v>
      </c>
      <c r="G41" s="1" t="s">
        <v>658</v>
      </c>
      <c r="H41" s="1">
        <v>1600</v>
      </c>
      <c r="I41" s="1">
        <f>IF(df_arabica_clean[[#This Row],[Altitude]] &lt;= 2500, df_arabica_clean[[#This Row],[Altitude]], ROUND(df_arabica_clean[[#This Row],[Altitude]] / 3.281, 0))</f>
        <v>1600</v>
      </c>
      <c r="J41" s="1" t="str">
        <f>IF(df_arabica_clean[[#This Row],[Altitude]]&gt;2500,"Convertido","Original")</f>
        <v>Original</v>
      </c>
      <c r="K41" s="1" t="s">
        <v>659</v>
      </c>
      <c r="L41" s="1" t="s">
        <v>660</v>
      </c>
      <c r="M41">
        <v>200</v>
      </c>
      <c r="N41" s="1" t="s">
        <v>132</v>
      </c>
      <c r="O41" s="1" t="s">
        <v>133</v>
      </c>
      <c r="P41" s="1" t="s">
        <v>134</v>
      </c>
      <c r="Q41" s="1" t="s">
        <v>661</v>
      </c>
      <c r="R41" s="1" t="s">
        <v>136</v>
      </c>
      <c r="S41" s="1" t="s">
        <v>137</v>
      </c>
      <c r="T41" s="1" t="s">
        <v>51</v>
      </c>
      <c r="U41" s="1" t="s">
        <v>67</v>
      </c>
      <c r="V41">
        <v>7.58</v>
      </c>
      <c r="W41">
        <v>7.67</v>
      </c>
      <c r="X41">
        <v>7.75</v>
      </c>
      <c r="Y41">
        <v>7.75</v>
      </c>
      <c r="Z41">
        <v>7.75</v>
      </c>
      <c r="AA41">
        <v>7.75</v>
      </c>
      <c r="AB41">
        <v>10</v>
      </c>
      <c r="AC41">
        <v>10</v>
      </c>
      <c r="AD41">
        <v>10</v>
      </c>
      <c r="AE41">
        <v>7.75</v>
      </c>
      <c r="AF41">
        <v>84</v>
      </c>
      <c r="AG41">
        <v>9.8000000000000007</v>
      </c>
      <c r="AH41">
        <v>0</v>
      </c>
      <c r="AI41">
        <v>0</v>
      </c>
      <c r="AJ41" s="1" t="s">
        <v>125</v>
      </c>
      <c r="AK41">
        <v>3</v>
      </c>
      <c r="AL41" s="1" t="s">
        <v>662</v>
      </c>
      <c r="AM41" s="1" t="s">
        <v>133</v>
      </c>
      <c r="AN41" s="1" t="s">
        <v>139</v>
      </c>
      <c r="AO41" s="1" t="s">
        <v>140</v>
      </c>
      <c r="AP41" s="1">
        <f>AVERAGEIF(df_arabica_clean[Country of Origin],df_arabica_clean[[#This Row],[Country of Origin]],df_arabica_clean[Total Cup Points])</f>
        <v>84.734999999999999</v>
      </c>
      <c r="AQ41" s="1">
        <f>+COUNTIF(df_arabica_clean[Country of Origin],df_arabica_clean[[#This Row],[Country of Origin]])</f>
        <v>6</v>
      </c>
    </row>
    <row r="42" spans="1:43" x14ac:dyDescent="0.25">
      <c r="A42">
        <v>64</v>
      </c>
      <c r="B42">
        <v>64</v>
      </c>
      <c r="C42" s="1" t="s">
        <v>519</v>
      </c>
      <c r="D42" s="1" t="s">
        <v>520</v>
      </c>
      <c r="E42" s="1" t="s">
        <v>521</v>
      </c>
      <c r="F42" s="1" t="s">
        <v>522</v>
      </c>
      <c r="G42" s="1" t="s">
        <v>523</v>
      </c>
      <c r="H42" s="1">
        <v>1350</v>
      </c>
      <c r="I42" s="1">
        <f>IF(df_arabica_clean[[#This Row],[Altitude]] &lt;= 2500, df_arabica_clean[[#This Row],[Altitude]], ROUND(df_arabica_clean[[#This Row],[Altitude]] / 3.281, 0))</f>
        <v>1350</v>
      </c>
      <c r="J42" s="1" t="str">
        <f>IF(df_arabica_clean[[#This Row],[Altitude]]&gt;2500,"Convertido","Original")</f>
        <v>Original</v>
      </c>
      <c r="K42" s="1" t="s">
        <v>524</v>
      </c>
      <c r="L42" s="1" t="s">
        <v>523</v>
      </c>
      <c r="M42">
        <v>74</v>
      </c>
      <c r="N42" s="1" t="s">
        <v>525</v>
      </c>
      <c r="O42" s="1" t="s">
        <v>526</v>
      </c>
      <c r="P42" s="1" t="s">
        <v>48</v>
      </c>
      <c r="Q42" s="1" t="s">
        <v>527</v>
      </c>
      <c r="R42" s="1" t="s">
        <v>528</v>
      </c>
      <c r="S42" s="1" t="s">
        <v>529</v>
      </c>
      <c r="T42" s="1" t="s">
        <v>51</v>
      </c>
      <c r="U42" s="1" t="s">
        <v>118</v>
      </c>
      <c r="V42">
        <v>7.92</v>
      </c>
      <c r="W42">
        <v>7.75</v>
      </c>
      <c r="X42">
        <v>7.67</v>
      </c>
      <c r="Y42">
        <v>7.67</v>
      </c>
      <c r="Z42">
        <v>7.83</v>
      </c>
      <c r="AA42">
        <v>7.75</v>
      </c>
      <c r="AB42">
        <v>10</v>
      </c>
      <c r="AC42">
        <v>10</v>
      </c>
      <c r="AD42">
        <v>10</v>
      </c>
      <c r="AE42">
        <v>8</v>
      </c>
      <c r="AF42">
        <v>84.58</v>
      </c>
      <c r="AG42">
        <v>9.9</v>
      </c>
      <c r="AH42">
        <v>1</v>
      </c>
      <c r="AI42">
        <v>0</v>
      </c>
      <c r="AJ42" s="1" t="s">
        <v>53</v>
      </c>
      <c r="AK42">
        <v>2</v>
      </c>
      <c r="AL42" s="1" t="s">
        <v>530</v>
      </c>
      <c r="AM42" s="1" t="s">
        <v>526</v>
      </c>
      <c r="AN42" s="1" t="s">
        <v>531</v>
      </c>
      <c r="AO42" s="1" t="s">
        <v>532</v>
      </c>
      <c r="AP42" s="5">
        <f>AVERAGEIF(df_arabica_clean[Country of Origin],df_arabica_clean[[#This Row],[Country of Origin]],df_arabica_clean[Total Cup Points])</f>
        <v>81.892857142857139</v>
      </c>
      <c r="AQ42" s="1">
        <f>+COUNTIF(df_arabica_clean[Country of Origin],df_arabica_clean[[#This Row],[Country of Origin]])</f>
        <v>7</v>
      </c>
    </row>
    <row r="43" spans="1:43" x14ac:dyDescent="0.25">
      <c r="A43">
        <v>199</v>
      </c>
      <c r="B43">
        <v>199</v>
      </c>
      <c r="C43" s="1" t="s">
        <v>441</v>
      </c>
      <c r="D43" s="1" t="s">
        <v>1101</v>
      </c>
      <c r="E43" s="1" t="s">
        <v>1197</v>
      </c>
      <c r="F43" s="1" t="s">
        <v>1198</v>
      </c>
      <c r="G43" s="1" t="s">
        <v>1053</v>
      </c>
      <c r="H43" s="1">
        <v>1600</v>
      </c>
      <c r="I43" s="1">
        <f>IF(df_arabica_clean[[#This Row],[Altitude]] &lt;= 2500, df_arabica_clean[[#This Row],[Altitude]], ROUND(df_arabica_clean[[#This Row],[Altitude]] / 3.281, 0))</f>
        <v>1600</v>
      </c>
      <c r="J43" s="1" t="str">
        <f>IF(df_arabica_clean[[#This Row],[Altitude]]&gt;2500,"Convertido","Original")</f>
        <v>Original</v>
      </c>
      <c r="K43" s="1" t="s">
        <v>1199</v>
      </c>
      <c r="L43" s="1" t="s">
        <v>1103</v>
      </c>
      <c r="M43">
        <v>275</v>
      </c>
      <c r="N43" s="1" t="s">
        <v>415</v>
      </c>
      <c r="O43" s="1" t="s">
        <v>47</v>
      </c>
      <c r="P43" s="1" t="s">
        <v>134</v>
      </c>
      <c r="Q43" s="1" t="s">
        <v>1200</v>
      </c>
      <c r="R43" s="1" t="s">
        <v>1056</v>
      </c>
      <c r="S43" s="1" t="s">
        <v>184</v>
      </c>
      <c r="T43" s="1" t="s">
        <v>51</v>
      </c>
      <c r="U43" s="1" t="s">
        <v>67</v>
      </c>
      <c r="V43">
        <v>7.5</v>
      </c>
      <c r="W43">
        <v>7.25</v>
      </c>
      <c r="X43">
        <v>7.17</v>
      </c>
      <c r="Y43">
        <v>7.17</v>
      </c>
      <c r="Z43">
        <v>7.17</v>
      </c>
      <c r="AA43">
        <v>7.08</v>
      </c>
      <c r="AB43">
        <v>10</v>
      </c>
      <c r="AC43">
        <v>10</v>
      </c>
      <c r="AD43">
        <v>10</v>
      </c>
      <c r="AE43">
        <v>7</v>
      </c>
      <c r="AF43">
        <v>80.33</v>
      </c>
      <c r="AG43">
        <v>11.8</v>
      </c>
      <c r="AH43">
        <v>0</v>
      </c>
      <c r="AI43">
        <v>6</v>
      </c>
      <c r="AJ43" s="1" t="s">
        <v>125</v>
      </c>
      <c r="AK43">
        <v>11</v>
      </c>
      <c r="AL43" s="1" t="s">
        <v>1201</v>
      </c>
      <c r="AM43" s="1" t="s">
        <v>47</v>
      </c>
      <c r="AN43" s="1" t="s">
        <v>55</v>
      </c>
      <c r="AO43" s="1" t="s">
        <v>56</v>
      </c>
      <c r="AP43" s="5">
        <f>AVERAGEIF(df_arabica_clean[Country of Origin],df_arabica_clean[[#This Row],[Country of Origin]],df_arabica_clean[Total Cup Points])</f>
        <v>82.332499999999996</v>
      </c>
      <c r="AQ43" s="1">
        <f>+COUNTIF(df_arabica_clean[Country of Origin],df_arabica_clean[[#This Row],[Country of Origin]])</f>
        <v>4</v>
      </c>
    </row>
    <row r="44" spans="1:43" x14ac:dyDescent="0.25">
      <c r="A44">
        <v>179</v>
      </c>
      <c r="B44">
        <v>179</v>
      </c>
      <c r="C44" s="1" t="s">
        <v>441</v>
      </c>
      <c r="D44" s="1" t="s">
        <v>1101</v>
      </c>
      <c r="E44" s="1" t="s">
        <v>1102</v>
      </c>
      <c r="F44" s="1" t="s">
        <v>1052</v>
      </c>
      <c r="G44" s="1" t="s">
        <v>1053</v>
      </c>
      <c r="H44" s="1">
        <v>1600</v>
      </c>
      <c r="I44" s="1">
        <f>IF(df_arabica_clean[[#This Row],[Altitude]] &lt;= 2500, df_arabica_clean[[#This Row],[Altitude]], ROUND(df_arabica_clean[[#This Row],[Altitude]] / 3.281, 0))</f>
        <v>1600</v>
      </c>
      <c r="J44" s="1" t="str">
        <f>IF(df_arabica_clean[[#This Row],[Altitude]]&gt;2500,"Convertido","Original")</f>
        <v>Original</v>
      </c>
      <c r="K44" s="1" t="s">
        <v>1054</v>
      </c>
      <c r="L44" s="1" t="s">
        <v>1103</v>
      </c>
      <c r="M44">
        <v>275</v>
      </c>
      <c r="N44" s="1" t="s">
        <v>415</v>
      </c>
      <c r="O44" s="1" t="s">
        <v>47</v>
      </c>
      <c r="P44" s="1" t="s">
        <v>134</v>
      </c>
      <c r="Q44" s="1" t="s">
        <v>968</v>
      </c>
      <c r="R44" s="1" t="s">
        <v>1056</v>
      </c>
      <c r="S44" s="1" t="s">
        <v>184</v>
      </c>
      <c r="T44" s="1" t="s">
        <v>51</v>
      </c>
      <c r="U44" s="1" t="s">
        <v>67</v>
      </c>
      <c r="V44">
        <v>7.5</v>
      </c>
      <c r="W44">
        <v>7.5</v>
      </c>
      <c r="X44">
        <v>7.33</v>
      </c>
      <c r="Y44">
        <v>7.5</v>
      </c>
      <c r="Z44">
        <v>7.33</v>
      </c>
      <c r="AA44">
        <v>7.33</v>
      </c>
      <c r="AB44">
        <v>10</v>
      </c>
      <c r="AC44">
        <v>10</v>
      </c>
      <c r="AD44">
        <v>10</v>
      </c>
      <c r="AE44">
        <v>7.42</v>
      </c>
      <c r="AF44">
        <v>81.92</v>
      </c>
      <c r="AG44">
        <v>11.6</v>
      </c>
      <c r="AH44">
        <v>0</v>
      </c>
      <c r="AI44">
        <v>2</v>
      </c>
      <c r="AJ44" s="1" t="s">
        <v>125</v>
      </c>
      <c r="AK44">
        <v>2</v>
      </c>
      <c r="AL44" s="1" t="s">
        <v>970</v>
      </c>
      <c r="AM44" s="1" t="s">
        <v>47</v>
      </c>
      <c r="AN44" s="1" t="s">
        <v>55</v>
      </c>
      <c r="AO44" s="1" t="s">
        <v>56</v>
      </c>
      <c r="AP44" s="5">
        <f>AVERAGEIF(df_arabica_clean[Country of Origin],df_arabica_clean[[#This Row],[Country of Origin]],df_arabica_clean[Total Cup Points])</f>
        <v>82.332499999999996</v>
      </c>
      <c r="AQ44" s="1">
        <f>+COUNTIF(df_arabica_clean[Country of Origin],df_arabica_clean[[#This Row],[Country of Origin]])</f>
        <v>4</v>
      </c>
    </row>
    <row r="45" spans="1:43" hidden="1" x14ac:dyDescent="0.25">
      <c r="A45">
        <v>38</v>
      </c>
      <c r="B45">
        <v>38</v>
      </c>
      <c r="C45" s="1" t="s">
        <v>333</v>
      </c>
      <c r="D45" s="1" t="s">
        <v>334</v>
      </c>
      <c r="E45" s="1" t="s">
        <v>335</v>
      </c>
      <c r="F45" s="1" t="s">
        <v>336</v>
      </c>
      <c r="G45" s="1" t="s">
        <v>337</v>
      </c>
      <c r="H45" s="1">
        <v>1600</v>
      </c>
      <c r="I45" s="1">
        <f>IF(df_arabica_clean[[#This Row],[Altitude]] &lt;= 2500, df_arabica_clean[[#This Row],[Altitude]], ROUND(df_arabica_clean[[#This Row],[Altitude]] / 3.281, 0))</f>
        <v>1600</v>
      </c>
      <c r="J45" s="1" t="str">
        <f>IF(df_arabica_clean[[#This Row],[Altitude]]&gt;2500,"Convertido","Original")</f>
        <v>Original</v>
      </c>
      <c r="K45" s="1" t="s">
        <v>338</v>
      </c>
      <c r="L45" s="1" t="s">
        <v>334</v>
      </c>
      <c r="M45">
        <v>300</v>
      </c>
      <c r="N45" s="1" t="s">
        <v>132</v>
      </c>
      <c r="O45" s="1" t="s">
        <v>133</v>
      </c>
      <c r="P45" s="1" t="s">
        <v>134</v>
      </c>
      <c r="Q45" s="1" t="s">
        <v>339</v>
      </c>
      <c r="R45" s="1" t="s">
        <v>340</v>
      </c>
      <c r="S45" s="1" t="s">
        <v>341</v>
      </c>
      <c r="T45" s="1" t="s">
        <v>51</v>
      </c>
      <c r="U45" s="1" t="s">
        <v>67</v>
      </c>
      <c r="V45">
        <v>8.17</v>
      </c>
      <c r="W45">
        <v>7.75</v>
      </c>
      <c r="X45">
        <v>7.83</v>
      </c>
      <c r="Y45">
        <v>7.58</v>
      </c>
      <c r="Z45">
        <v>7.92</v>
      </c>
      <c r="AA45">
        <v>8</v>
      </c>
      <c r="AB45">
        <v>10</v>
      </c>
      <c r="AC45">
        <v>10</v>
      </c>
      <c r="AD45">
        <v>10</v>
      </c>
      <c r="AE45">
        <v>8</v>
      </c>
      <c r="AF45">
        <v>85.25</v>
      </c>
      <c r="AG45">
        <v>9.1999999999999993</v>
      </c>
      <c r="AH45">
        <v>0</v>
      </c>
      <c r="AI45">
        <v>0</v>
      </c>
      <c r="AJ45" s="1" t="s">
        <v>125</v>
      </c>
      <c r="AK45">
        <v>1</v>
      </c>
      <c r="AL45" s="1" t="s">
        <v>342</v>
      </c>
      <c r="AM45" s="1" t="s">
        <v>133</v>
      </c>
      <c r="AN45" s="1" t="s">
        <v>139</v>
      </c>
      <c r="AO45" s="1" t="s">
        <v>140</v>
      </c>
      <c r="AP45" s="4">
        <f>AVERAGEIF(df_arabica_clean[Country of Origin],df_arabica_clean[[#This Row],[Country of Origin]],df_arabica_clean[Total Cup Points])</f>
        <v>83.710000000000008</v>
      </c>
      <c r="AQ45" s="1">
        <f>+COUNTIF(df_arabica_clean[Country of Origin],df_arabica_clean[[#This Row],[Country of Origin]])</f>
        <v>2</v>
      </c>
    </row>
    <row r="46" spans="1:43" x14ac:dyDescent="0.25">
      <c r="A46">
        <v>168</v>
      </c>
      <c r="B46">
        <v>168</v>
      </c>
      <c r="C46" s="1" t="s">
        <v>441</v>
      </c>
      <c r="D46" s="1" t="s">
        <v>1050</v>
      </c>
      <c r="E46" s="1" t="s">
        <v>1051</v>
      </c>
      <c r="F46" s="1" t="s">
        <v>1052</v>
      </c>
      <c r="G46" s="1" t="s">
        <v>1053</v>
      </c>
      <c r="H46" s="1">
        <v>1600</v>
      </c>
      <c r="I46" s="1">
        <f>IF(df_arabica_clean[[#This Row],[Altitude]] &lt;= 2500, df_arabica_clean[[#This Row],[Altitude]], ROUND(df_arabica_clean[[#This Row],[Altitude]] / 3.281, 0))</f>
        <v>1600</v>
      </c>
      <c r="J46" s="1" t="str">
        <f>IF(df_arabica_clean[[#This Row],[Altitude]]&gt;2500,"Convertido","Original")</f>
        <v>Original</v>
      </c>
      <c r="K46" s="1" t="s">
        <v>1054</v>
      </c>
      <c r="L46" s="1" t="s">
        <v>1055</v>
      </c>
      <c r="M46">
        <v>275</v>
      </c>
      <c r="N46" s="1" t="s">
        <v>415</v>
      </c>
      <c r="O46" s="1" t="s">
        <v>47</v>
      </c>
      <c r="P46" s="1" t="s">
        <v>134</v>
      </c>
      <c r="Q46" s="1" t="s">
        <v>968</v>
      </c>
      <c r="R46" s="1" t="s">
        <v>1056</v>
      </c>
      <c r="S46" s="1" t="s">
        <v>184</v>
      </c>
      <c r="T46" s="1" t="s">
        <v>51</v>
      </c>
      <c r="U46" s="1" t="s">
        <v>67</v>
      </c>
      <c r="V46">
        <v>7.67</v>
      </c>
      <c r="W46">
        <v>7.5</v>
      </c>
      <c r="X46">
        <v>7.33</v>
      </c>
      <c r="Y46">
        <v>7.58</v>
      </c>
      <c r="Z46">
        <v>7.33</v>
      </c>
      <c r="AA46">
        <v>7.42</v>
      </c>
      <c r="AB46">
        <v>10</v>
      </c>
      <c r="AC46">
        <v>10</v>
      </c>
      <c r="AD46">
        <v>10</v>
      </c>
      <c r="AE46">
        <v>7.42</v>
      </c>
      <c r="AF46">
        <v>82.25</v>
      </c>
      <c r="AG46">
        <v>11.7</v>
      </c>
      <c r="AH46">
        <v>0</v>
      </c>
      <c r="AI46">
        <v>1</v>
      </c>
      <c r="AJ46" s="1" t="s">
        <v>125</v>
      </c>
      <c r="AK46">
        <v>3</v>
      </c>
      <c r="AL46" s="1" t="s">
        <v>970</v>
      </c>
      <c r="AM46" s="1" t="s">
        <v>47</v>
      </c>
      <c r="AN46" s="1" t="s">
        <v>55</v>
      </c>
      <c r="AO46" s="1" t="s">
        <v>56</v>
      </c>
      <c r="AP46" s="5">
        <f>AVERAGEIF(df_arabica_clean[Country of Origin],df_arabica_clean[[#This Row],[Country of Origin]],df_arabica_clean[Total Cup Points])</f>
        <v>82.332499999999996</v>
      </c>
      <c r="AQ46" s="1">
        <f>+COUNTIF(df_arabica_clean[Country of Origin],df_arabica_clean[[#This Row],[Country of Origin]])</f>
        <v>4</v>
      </c>
    </row>
    <row r="47" spans="1:43" x14ac:dyDescent="0.25">
      <c r="A47">
        <v>52</v>
      </c>
      <c r="B47">
        <v>52</v>
      </c>
      <c r="C47" s="1" t="s">
        <v>441</v>
      </c>
      <c r="D47" s="1" t="s">
        <v>442</v>
      </c>
      <c r="E47" s="1" t="s">
        <v>443</v>
      </c>
      <c r="F47" s="1" t="s">
        <v>444</v>
      </c>
      <c r="G47" s="1" t="s">
        <v>60</v>
      </c>
      <c r="H47" s="1">
        <v>1750</v>
      </c>
      <c r="I47" s="1">
        <f>IF(df_arabica_clean[[#This Row],[Altitude]] &lt;= 2500, df_arabica_clean[[#This Row],[Altitude]], ROUND(df_arabica_clean[[#This Row],[Altitude]] / 3.281, 0))</f>
        <v>1750</v>
      </c>
      <c r="J47" s="1" t="str">
        <f>IF(df_arabica_clean[[#This Row],[Altitude]]&gt;2500,"Convertido","Original")</f>
        <v>Original</v>
      </c>
      <c r="K47" s="1" t="s">
        <v>445</v>
      </c>
      <c r="L47" s="1" t="s">
        <v>446</v>
      </c>
      <c r="M47">
        <v>3</v>
      </c>
      <c r="N47" s="1" t="s">
        <v>192</v>
      </c>
      <c r="O47" s="1" t="s">
        <v>64</v>
      </c>
      <c r="P47" s="1" t="s">
        <v>89</v>
      </c>
      <c r="Q47" s="1" t="s">
        <v>65</v>
      </c>
      <c r="R47" s="1" t="s">
        <v>64</v>
      </c>
      <c r="S47" s="1" t="s">
        <v>66</v>
      </c>
      <c r="T47" s="1" t="s">
        <v>51</v>
      </c>
      <c r="U47" s="1" t="s">
        <v>67</v>
      </c>
      <c r="V47">
        <v>8</v>
      </c>
      <c r="W47">
        <v>8</v>
      </c>
      <c r="X47">
        <v>7.83</v>
      </c>
      <c r="Y47">
        <v>7.83</v>
      </c>
      <c r="Z47">
        <v>7.58</v>
      </c>
      <c r="AA47">
        <v>7.83</v>
      </c>
      <c r="AB47">
        <v>10</v>
      </c>
      <c r="AC47">
        <v>10</v>
      </c>
      <c r="AD47">
        <v>10</v>
      </c>
      <c r="AE47">
        <v>7.75</v>
      </c>
      <c r="AF47">
        <v>84.83</v>
      </c>
      <c r="AG47">
        <v>10.7</v>
      </c>
      <c r="AH47">
        <v>0</v>
      </c>
      <c r="AI47">
        <v>0</v>
      </c>
      <c r="AJ47" s="1" t="s">
        <v>125</v>
      </c>
      <c r="AK47">
        <v>0</v>
      </c>
      <c r="AL47" s="1" t="s">
        <v>69</v>
      </c>
      <c r="AM47" s="1" t="s">
        <v>64</v>
      </c>
      <c r="AN47" s="1" t="s">
        <v>70</v>
      </c>
      <c r="AO47" s="1" t="s">
        <v>71</v>
      </c>
      <c r="AP47" s="5">
        <f>AVERAGEIF(df_arabica_clean[Country of Origin],df_arabica_clean[[#This Row],[Country of Origin]],df_arabica_clean[Total Cup Points])</f>
        <v>82.332499999999996</v>
      </c>
      <c r="AQ47" s="1">
        <f>+COUNTIF(df_arabica_clean[Country of Origin],df_arabica_clean[[#This Row],[Country of Origin]])</f>
        <v>4</v>
      </c>
    </row>
    <row r="48" spans="1:43" x14ac:dyDescent="0.25">
      <c r="A48">
        <v>186</v>
      </c>
      <c r="B48">
        <v>186</v>
      </c>
      <c r="C48" s="1" t="s">
        <v>738</v>
      </c>
      <c r="D48" s="1" t="s">
        <v>1139</v>
      </c>
      <c r="E48" s="1" t="s">
        <v>1140</v>
      </c>
      <c r="F48" s="1" t="s">
        <v>920</v>
      </c>
      <c r="G48" s="1" t="s">
        <v>921</v>
      </c>
      <c r="H48" s="1">
        <v>1200</v>
      </c>
      <c r="I48" s="1">
        <f>IF(df_arabica_clean[[#This Row],[Altitude]] &lt;= 2500, df_arabica_clean[[#This Row],[Altitude]], ROUND(df_arabica_clean[[#This Row],[Altitude]] / 3.281, 0))</f>
        <v>1200</v>
      </c>
      <c r="J48" s="1" t="str">
        <f>IF(df_arabica_clean[[#This Row],[Altitude]]&gt;2500,"Convertido","Original")</f>
        <v>Original</v>
      </c>
      <c r="K48" s="1" t="s">
        <v>920</v>
      </c>
      <c r="L48" s="1" t="s">
        <v>1141</v>
      </c>
      <c r="M48">
        <v>32</v>
      </c>
      <c r="N48" s="1" t="s">
        <v>415</v>
      </c>
      <c r="O48" s="1" t="s">
        <v>668</v>
      </c>
      <c r="P48" s="1" t="s">
        <v>48</v>
      </c>
      <c r="Q48" s="1" t="s">
        <v>924</v>
      </c>
      <c r="R48" s="1" t="s">
        <v>925</v>
      </c>
      <c r="S48" s="1" t="s">
        <v>231</v>
      </c>
      <c r="T48" s="1" t="s">
        <v>51</v>
      </c>
      <c r="U48" s="1" t="s">
        <v>67</v>
      </c>
      <c r="V48">
        <v>7.58</v>
      </c>
      <c r="W48">
        <v>7.42</v>
      </c>
      <c r="X48">
        <v>7.25</v>
      </c>
      <c r="Y48">
        <v>7.25</v>
      </c>
      <c r="Z48">
        <v>7.5</v>
      </c>
      <c r="AA48">
        <v>7.33</v>
      </c>
      <c r="AB48">
        <v>10</v>
      </c>
      <c r="AC48">
        <v>10</v>
      </c>
      <c r="AD48">
        <v>10</v>
      </c>
      <c r="AE48">
        <v>7.33</v>
      </c>
      <c r="AF48">
        <v>81.67</v>
      </c>
      <c r="AG48">
        <v>11.8</v>
      </c>
      <c r="AH48">
        <v>2</v>
      </c>
      <c r="AI48">
        <v>0</v>
      </c>
      <c r="AJ48" s="1" t="s">
        <v>53</v>
      </c>
      <c r="AK48">
        <v>2</v>
      </c>
      <c r="AL48" s="1" t="s">
        <v>926</v>
      </c>
      <c r="AM48" s="1" t="s">
        <v>668</v>
      </c>
      <c r="AN48" s="1" t="s">
        <v>672</v>
      </c>
      <c r="AO48" s="1" t="s">
        <v>673</v>
      </c>
      <c r="AP48" s="5">
        <f>AVERAGEIF(df_arabica_clean[Country of Origin],df_arabica_clean[[#This Row],[Country of Origin]],df_arabica_clean[Total Cup Points])</f>
        <v>82.710000000000008</v>
      </c>
      <c r="AQ48" s="1">
        <f>+COUNTIF(df_arabica_clean[Country of Origin],df_arabica_clean[[#This Row],[Country of Origin]])</f>
        <v>4</v>
      </c>
    </row>
    <row r="49" spans="1:43" x14ac:dyDescent="0.25">
      <c r="A49">
        <v>104</v>
      </c>
      <c r="B49">
        <v>104</v>
      </c>
      <c r="C49" s="1" t="s">
        <v>738</v>
      </c>
      <c r="D49" s="1" t="s">
        <v>739</v>
      </c>
      <c r="E49" s="1" t="s">
        <v>740</v>
      </c>
      <c r="F49" s="1" t="s">
        <v>741</v>
      </c>
      <c r="G49" s="1" t="s">
        <v>742</v>
      </c>
      <c r="H49" s="1">
        <v>1200</v>
      </c>
      <c r="I49" s="1">
        <f>IF(df_arabica_clean[[#This Row],[Altitude]] &lt;= 2500, df_arabica_clean[[#This Row],[Altitude]], ROUND(df_arabica_clean[[#This Row],[Altitude]] / 3.281, 0))</f>
        <v>1200</v>
      </c>
      <c r="J49" s="1" t="str">
        <f>IF(df_arabica_clean[[#This Row],[Altitude]]&gt;2500,"Convertido","Original")</f>
        <v>Original</v>
      </c>
      <c r="K49" s="1" t="s">
        <v>743</v>
      </c>
      <c r="L49" s="1" t="s">
        <v>744</v>
      </c>
      <c r="M49">
        <v>600</v>
      </c>
      <c r="N49" s="1" t="s">
        <v>106</v>
      </c>
      <c r="O49" s="1" t="s">
        <v>668</v>
      </c>
      <c r="P49" s="1" t="s">
        <v>134</v>
      </c>
      <c r="Q49" s="1" t="s">
        <v>745</v>
      </c>
      <c r="R49" s="1" t="s">
        <v>746</v>
      </c>
      <c r="S49" s="1" t="s">
        <v>747</v>
      </c>
      <c r="T49" s="1" t="s">
        <v>51</v>
      </c>
      <c r="U49" s="1" t="s">
        <v>67</v>
      </c>
      <c r="V49">
        <v>7.67</v>
      </c>
      <c r="W49">
        <v>7.67</v>
      </c>
      <c r="X49">
        <v>7.58</v>
      </c>
      <c r="Y49">
        <v>7.67</v>
      </c>
      <c r="Z49">
        <v>7.83</v>
      </c>
      <c r="AA49">
        <v>7.58</v>
      </c>
      <c r="AB49">
        <v>10</v>
      </c>
      <c r="AC49">
        <v>10</v>
      </c>
      <c r="AD49">
        <v>10</v>
      </c>
      <c r="AE49">
        <v>7.75</v>
      </c>
      <c r="AF49">
        <v>83.75</v>
      </c>
      <c r="AG49">
        <v>11.7</v>
      </c>
      <c r="AH49">
        <v>4</v>
      </c>
      <c r="AI49">
        <v>0</v>
      </c>
      <c r="AJ49" s="1" t="s">
        <v>53</v>
      </c>
      <c r="AK49">
        <v>12</v>
      </c>
      <c r="AL49" s="1" t="s">
        <v>748</v>
      </c>
      <c r="AM49" s="1" t="s">
        <v>668</v>
      </c>
      <c r="AN49" s="1" t="s">
        <v>672</v>
      </c>
      <c r="AO49" s="1" t="s">
        <v>673</v>
      </c>
      <c r="AP49" s="5">
        <f>AVERAGEIF(df_arabica_clean[Country of Origin],df_arabica_clean[[#This Row],[Country of Origin]],df_arabica_clean[Total Cup Points])</f>
        <v>82.710000000000008</v>
      </c>
      <c r="AQ49" s="1">
        <f>+COUNTIF(df_arabica_clean[Country of Origin],df_arabica_clean[[#This Row],[Country of Origin]])</f>
        <v>4</v>
      </c>
    </row>
    <row r="50" spans="1:43" x14ac:dyDescent="0.25">
      <c r="A50">
        <v>160</v>
      </c>
      <c r="B50">
        <v>160</v>
      </c>
      <c r="C50" s="1" t="s">
        <v>738</v>
      </c>
      <c r="D50" s="1" t="s">
        <v>1023</v>
      </c>
      <c r="E50" s="1" t="s">
        <v>1024</v>
      </c>
      <c r="F50" s="1" t="s">
        <v>1023</v>
      </c>
      <c r="G50" s="1" t="s">
        <v>60</v>
      </c>
      <c r="H50" s="1">
        <v>1340</v>
      </c>
      <c r="I50" s="1">
        <f>IF(df_arabica_clean[[#This Row],[Altitude]] &lt;= 2500, df_arabica_clean[[#This Row],[Altitude]], ROUND(df_arabica_clean[[#This Row],[Altitude]] / 3.281, 0))</f>
        <v>1340</v>
      </c>
      <c r="J50" s="1" t="str">
        <f>IF(df_arabica_clean[[#This Row],[Altitude]]&gt;2500,"Convertido","Original")</f>
        <v>Original</v>
      </c>
      <c r="K50" s="1" t="s">
        <v>1025</v>
      </c>
      <c r="L50" s="1" t="s">
        <v>1026</v>
      </c>
      <c r="M50">
        <v>10</v>
      </c>
      <c r="N50" s="1" t="s">
        <v>157</v>
      </c>
      <c r="O50" s="1" t="s">
        <v>64</v>
      </c>
      <c r="P50" s="1" t="s">
        <v>158</v>
      </c>
      <c r="Q50" s="1" t="s">
        <v>65</v>
      </c>
      <c r="R50" s="1" t="s">
        <v>159</v>
      </c>
      <c r="S50" s="1" t="s">
        <v>601</v>
      </c>
      <c r="T50" s="1" t="s">
        <v>51</v>
      </c>
      <c r="U50" s="1" t="s">
        <v>67</v>
      </c>
      <c r="V50">
        <v>7.67</v>
      </c>
      <c r="W50">
        <v>7.42</v>
      </c>
      <c r="X50">
        <v>7.5</v>
      </c>
      <c r="Y50">
        <v>7.5</v>
      </c>
      <c r="Z50">
        <v>7.67</v>
      </c>
      <c r="AA50">
        <v>7.42</v>
      </c>
      <c r="AB50">
        <v>10</v>
      </c>
      <c r="AC50">
        <v>10</v>
      </c>
      <c r="AD50">
        <v>10</v>
      </c>
      <c r="AE50">
        <v>7.33</v>
      </c>
      <c r="AF50">
        <v>82.5</v>
      </c>
      <c r="AG50">
        <v>10.7</v>
      </c>
      <c r="AH50">
        <v>0</v>
      </c>
      <c r="AI50">
        <v>0</v>
      </c>
      <c r="AJ50" s="1" t="s">
        <v>368</v>
      </c>
      <c r="AK50">
        <v>0</v>
      </c>
      <c r="AL50" s="1" t="s">
        <v>69</v>
      </c>
      <c r="AM50" s="1" t="s">
        <v>64</v>
      </c>
      <c r="AN50" s="1" t="s">
        <v>70</v>
      </c>
      <c r="AO50" s="1" t="s">
        <v>71</v>
      </c>
      <c r="AP50" s="5">
        <f>AVERAGEIF(df_arabica_clean[Country of Origin],df_arabica_clean[[#This Row],[Country of Origin]],df_arabica_clean[Total Cup Points])</f>
        <v>82.710000000000008</v>
      </c>
      <c r="AQ50" s="1">
        <f>+COUNTIF(df_arabica_clean[Country of Origin],df_arabica_clean[[#This Row],[Country of Origin]])</f>
        <v>4</v>
      </c>
    </row>
    <row r="51" spans="1:43" x14ac:dyDescent="0.25">
      <c r="A51">
        <v>141</v>
      </c>
      <c r="B51">
        <v>141</v>
      </c>
      <c r="C51" s="1" t="s">
        <v>738</v>
      </c>
      <c r="D51" s="1" t="s">
        <v>918</v>
      </c>
      <c r="E51" s="1" t="s">
        <v>919</v>
      </c>
      <c r="F51" s="1" t="s">
        <v>920</v>
      </c>
      <c r="G51" s="1" t="s">
        <v>921</v>
      </c>
      <c r="H51" s="1">
        <v>1350</v>
      </c>
      <c r="I51" s="1">
        <f>IF(df_arabica_clean[[#This Row],[Altitude]] &lt;= 2500, df_arabica_clean[[#This Row],[Altitude]], ROUND(df_arabica_clean[[#This Row],[Altitude]] / 3.281, 0))</f>
        <v>1350</v>
      </c>
      <c r="J51" s="1" t="str">
        <f>IF(df_arabica_clean[[#This Row],[Altitude]]&gt;2500,"Convertido","Original")</f>
        <v>Original</v>
      </c>
      <c r="K51" s="1" t="s">
        <v>922</v>
      </c>
      <c r="L51" s="1" t="s">
        <v>923</v>
      </c>
      <c r="M51">
        <v>141</v>
      </c>
      <c r="N51" s="1" t="s">
        <v>415</v>
      </c>
      <c r="O51" s="1" t="s">
        <v>668</v>
      </c>
      <c r="P51" s="1" t="s">
        <v>48</v>
      </c>
      <c r="Q51" s="1" t="s">
        <v>924</v>
      </c>
      <c r="R51" s="1" t="s">
        <v>925</v>
      </c>
      <c r="S51" s="1" t="s">
        <v>137</v>
      </c>
      <c r="T51" s="1" t="s">
        <v>51</v>
      </c>
      <c r="U51" s="1" t="s">
        <v>67</v>
      </c>
      <c r="V51">
        <v>7.75</v>
      </c>
      <c r="W51">
        <v>7.5</v>
      </c>
      <c r="X51">
        <v>7.42</v>
      </c>
      <c r="Y51">
        <v>7.67</v>
      </c>
      <c r="Z51">
        <v>7.58</v>
      </c>
      <c r="AA51">
        <v>7.5</v>
      </c>
      <c r="AB51">
        <v>10</v>
      </c>
      <c r="AC51">
        <v>10</v>
      </c>
      <c r="AD51">
        <v>10</v>
      </c>
      <c r="AE51">
        <v>7.5</v>
      </c>
      <c r="AF51">
        <v>82.92</v>
      </c>
      <c r="AG51">
        <v>11.9</v>
      </c>
      <c r="AH51">
        <v>2</v>
      </c>
      <c r="AI51">
        <v>0</v>
      </c>
      <c r="AJ51" s="1" t="s">
        <v>53</v>
      </c>
      <c r="AK51">
        <v>1</v>
      </c>
      <c r="AL51" s="1" t="s">
        <v>926</v>
      </c>
      <c r="AM51" s="1" t="s">
        <v>668</v>
      </c>
      <c r="AN51" s="1" t="s">
        <v>672</v>
      </c>
      <c r="AO51" s="1" t="s">
        <v>673</v>
      </c>
      <c r="AP51" s="5">
        <f>AVERAGEIF(df_arabica_clean[Country of Origin],df_arabica_clean[[#This Row],[Country of Origin]],df_arabica_clean[Total Cup Points])</f>
        <v>82.710000000000008</v>
      </c>
      <c r="AQ51" s="1">
        <f>+COUNTIF(df_arabica_clean[Country of Origin],df_arabica_clean[[#This Row],[Country of Origin]])</f>
        <v>4</v>
      </c>
    </row>
    <row r="52" spans="1:43" x14ac:dyDescent="0.25">
      <c r="A52">
        <v>144</v>
      </c>
      <c r="B52">
        <v>144</v>
      </c>
      <c r="C52" s="1" t="s">
        <v>554</v>
      </c>
      <c r="D52" s="1" t="s">
        <v>933</v>
      </c>
      <c r="E52" s="1" t="s">
        <v>934</v>
      </c>
      <c r="F52" s="1" t="s">
        <v>935</v>
      </c>
      <c r="G52" s="1" t="s">
        <v>784</v>
      </c>
      <c r="H52" s="1">
        <v>1280</v>
      </c>
      <c r="I52" s="1">
        <f>IF(df_arabica_clean[[#This Row],[Altitude]] &lt;= 2500, df_arabica_clean[[#This Row],[Altitude]], ROUND(df_arabica_clean[[#This Row],[Altitude]] / 3.281, 0))</f>
        <v>1280</v>
      </c>
      <c r="J52" s="1" t="str">
        <f>IF(df_arabica_clean[[#This Row],[Altitude]]&gt;2500,"Convertido","Original")</f>
        <v>Original</v>
      </c>
      <c r="K52" s="1" t="s">
        <v>785</v>
      </c>
      <c r="L52" s="1" t="s">
        <v>936</v>
      </c>
      <c r="M52">
        <v>275</v>
      </c>
      <c r="N52" s="1" t="s">
        <v>415</v>
      </c>
      <c r="O52" s="1" t="s">
        <v>561</v>
      </c>
      <c r="P52" s="1" t="s">
        <v>134</v>
      </c>
      <c r="Q52" s="1" t="s">
        <v>937</v>
      </c>
      <c r="R52" s="1" t="s">
        <v>788</v>
      </c>
      <c r="S52" s="1" t="s">
        <v>409</v>
      </c>
      <c r="T52" s="1" t="s">
        <v>51</v>
      </c>
      <c r="U52" s="1" t="s">
        <v>67</v>
      </c>
      <c r="V52">
        <v>7.67</v>
      </c>
      <c r="W52">
        <v>7.58</v>
      </c>
      <c r="X52">
        <v>7.5</v>
      </c>
      <c r="Y52">
        <v>7.5</v>
      </c>
      <c r="Z52">
        <v>7.58</v>
      </c>
      <c r="AA52">
        <v>7.5</v>
      </c>
      <c r="AB52">
        <v>10</v>
      </c>
      <c r="AC52">
        <v>10</v>
      </c>
      <c r="AD52">
        <v>10</v>
      </c>
      <c r="AE52">
        <v>7.5</v>
      </c>
      <c r="AF52">
        <v>82.83</v>
      </c>
      <c r="AG52">
        <v>10</v>
      </c>
      <c r="AH52">
        <v>0</v>
      </c>
      <c r="AI52">
        <v>0</v>
      </c>
      <c r="AJ52" s="1" t="s">
        <v>53</v>
      </c>
      <c r="AK52">
        <v>4</v>
      </c>
      <c r="AL52" s="1" t="s">
        <v>938</v>
      </c>
      <c r="AM52" s="1" t="s">
        <v>561</v>
      </c>
      <c r="AN52" s="1" t="s">
        <v>565</v>
      </c>
      <c r="AO52" s="1" t="s">
        <v>566</v>
      </c>
      <c r="AP52" s="5">
        <f>AVERAGEIF(df_arabica_clean[Country of Origin],df_arabica_clean[[#This Row],[Country of Origin]],df_arabica_clean[Total Cup Points])</f>
        <v>83.282307692307697</v>
      </c>
      <c r="AQ52" s="1">
        <f>+COUNTIF(df_arabica_clean[Country of Origin],df_arabica_clean[[#This Row],[Country of Origin]])</f>
        <v>13</v>
      </c>
    </row>
    <row r="53" spans="1:43" x14ac:dyDescent="0.25">
      <c r="A53">
        <v>82</v>
      </c>
      <c r="B53">
        <v>82</v>
      </c>
      <c r="C53" s="1" t="s">
        <v>554</v>
      </c>
      <c r="D53" s="1" t="s">
        <v>555</v>
      </c>
      <c r="E53" s="1" t="s">
        <v>629</v>
      </c>
      <c r="F53" s="1" t="s">
        <v>557</v>
      </c>
      <c r="G53" s="1" t="s">
        <v>558</v>
      </c>
      <c r="H53" s="1">
        <v>1368</v>
      </c>
      <c r="I53" s="1">
        <f>IF(df_arabica_clean[[#This Row],[Altitude]] &lt;= 2500, df_arabica_clean[[#This Row],[Altitude]], ROUND(df_arabica_clean[[#This Row],[Altitude]] / 3.281, 0))</f>
        <v>1368</v>
      </c>
      <c r="J53" s="1" t="str">
        <f>IF(df_arabica_clean[[#This Row],[Altitude]]&gt;2500,"Convertido","Original")</f>
        <v>Original</v>
      </c>
      <c r="K53" s="1" t="s">
        <v>559</v>
      </c>
      <c r="L53" s="1" t="s">
        <v>560</v>
      </c>
      <c r="M53">
        <v>345</v>
      </c>
      <c r="N53" s="1" t="s">
        <v>106</v>
      </c>
      <c r="O53" s="1" t="s">
        <v>561</v>
      </c>
      <c r="P53" s="1" t="s">
        <v>134</v>
      </c>
      <c r="Q53" s="1" t="s">
        <v>562</v>
      </c>
      <c r="R53" s="1" t="s">
        <v>563</v>
      </c>
      <c r="S53" s="1" t="s">
        <v>409</v>
      </c>
      <c r="T53" s="1" t="s">
        <v>51</v>
      </c>
      <c r="U53" s="1" t="s">
        <v>67</v>
      </c>
      <c r="V53">
        <v>7.75</v>
      </c>
      <c r="W53">
        <v>7.75</v>
      </c>
      <c r="X53">
        <v>7.58</v>
      </c>
      <c r="Y53">
        <v>7.83</v>
      </c>
      <c r="Z53">
        <v>7.75</v>
      </c>
      <c r="AA53">
        <v>7.75</v>
      </c>
      <c r="AB53">
        <v>10</v>
      </c>
      <c r="AC53">
        <v>10</v>
      </c>
      <c r="AD53">
        <v>10</v>
      </c>
      <c r="AE53">
        <v>7.75</v>
      </c>
      <c r="AF53">
        <v>84.17</v>
      </c>
      <c r="AG53">
        <v>10.199999999999999</v>
      </c>
      <c r="AH53">
        <v>0</v>
      </c>
      <c r="AI53">
        <v>0</v>
      </c>
      <c r="AJ53" s="1" t="s">
        <v>53</v>
      </c>
      <c r="AK53">
        <v>2</v>
      </c>
      <c r="AL53" s="1" t="s">
        <v>564</v>
      </c>
      <c r="AM53" s="1" t="s">
        <v>561</v>
      </c>
      <c r="AN53" s="1" t="s">
        <v>565</v>
      </c>
      <c r="AO53" s="1" t="s">
        <v>566</v>
      </c>
      <c r="AP53" s="5">
        <f>AVERAGEIF(df_arabica_clean[Country of Origin],df_arabica_clean[[#This Row],[Country of Origin]],df_arabica_clean[Total Cup Points])</f>
        <v>83.282307692307697</v>
      </c>
      <c r="AQ53" s="1">
        <f>+COUNTIF(df_arabica_clean[Country of Origin],df_arabica_clean[[#This Row],[Country of Origin]])</f>
        <v>13</v>
      </c>
    </row>
    <row r="54" spans="1:43" x14ac:dyDescent="0.25">
      <c r="A54">
        <v>70</v>
      </c>
      <c r="B54">
        <v>70</v>
      </c>
      <c r="C54" s="1" t="s">
        <v>554</v>
      </c>
      <c r="D54" s="1" t="s">
        <v>555</v>
      </c>
      <c r="E54" s="1" t="s">
        <v>556</v>
      </c>
      <c r="F54" s="1" t="s">
        <v>557</v>
      </c>
      <c r="G54" s="1" t="s">
        <v>558</v>
      </c>
      <c r="H54" s="1">
        <v>1368</v>
      </c>
      <c r="I54" s="1">
        <f>IF(df_arabica_clean[[#This Row],[Altitude]] &lt;= 2500, df_arabica_clean[[#This Row],[Altitude]], ROUND(df_arabica_clean[[#This Row],[Altitude]] / 3.281, 0))</f>
        <v>1368</v>
      </c>
      <c r="J54" s="1" t="str">
        <f>IF(df_arabica_clean[[#This Row],[Altitude]]&gt;2500,"Convertido","Original")</f>
        <v>Original</v>
      </c>
      <c r="K54" s="1" t="s">
        <v>559</v>
      </c>
      <c r="L54" s="1" t="s">
        <v>560</v>
      </c>
      <c r="M54">
        <v>340</v>
      </c>
      <c r="N54" s="1" t="s">
        <v>415</v>
      </c>
      <c r="O54" s="1" t="s">
        <v>561</v>
      </c>
      <c r="P54" s="1" t="s">
        <v>134</v>
      </c>
      <c r="Q54" s="1" t="s">
        <v>562</v>
      </c>
      <c r="R54" s="1" t="s">
        <v>563</v>
      </c>
      <c r="S54" s="1" t="s">
        <v>409</v>
      </c>
      <c r="T54" s="1" t="s">
        <v>51</v>
      </c>
      <c r="U54" s="1" t="s">
        <v>67</v>
      </c>
      <c r="V54">
        <v>7.83</v>
      </c>
      <c r="W54">
        <v>7.92</v>
      </c>
      <c r="X54">
        <v>7.75</v>
      </c>
      <c r="Y54">
        <v>7.75</v>
      </c>
      <c r="Z54">
        <v>7.75</v>
      </c>
      <c r="AA54">
        <v>7.75</v>
      </c>
      <c r="AB54">
        <v>10</v>
      </c>
      <c r="AC54">
        <v>10</v>
      </c>
      <c r="AD54">
        <v>10</v>
      </c>
      <c r="AE54">
        <v>7.75</v>
      </c>
      <c r="AF54">
        <v>84.5</v>
      </c>
      <c r="AG54">
        <v>9.8000000000000007</v>
      </c>
      <c r="AH54">
        <v>0</v>
      </c>
      <c r="AI54">
        <v>0</v>
      </c>
      <c r="AJ54" s="1" t="s">
        <v>53</v>
      </c>
      <c r="AK54">
        <v>3</v>
      </c>
      <c r="AL54" s="1" t="s">
        <v>564</v>
      </c>
      <c r="AM54" s="1" t="s">
        <v>561</v>
      </c>
      <c r="AN54" s="1" t="s">
        <v>565</v>
      </c>
      <c r="AO54" s="1" t="s">
        <v>566</v>
      </c>
      <c r="AP54" s="5">
        <f>AVERAGEIF(df_arabica_clean[Country of Origin],df_arabica_clean[[#This Row],[Country of Origin]],df_arabica_clean[Total Cup Points])</f>
        <v>83.282307692307697</v>
      </c>
      <c r="AQ54" s="1">
        <f>+COUNTIF(df_arabica_clean[Country of Origin],df_arabica_clean[[#This Row],[Country of Origin]])</f>
        <v>13</v>
      </c>
    </row>
    <row r="55" spans="1:43" hidden="1" x14ac:dyDescent="0.25">
      <c r="A55">
        <v>19</v>
      </c>
      <c r="B55">
        <v>19</v>
      </c>
      <c r="C55" s="1" t="s">
        <v>126</v>
      </c>
      <c r="D55" s="1" t="s">
        <v>215</v>
      </c>
      <c r="E55" s="1" t="s">
        <v>216</v>
      </c>
      <c r="F55" s="1" t="s">
        <v>129</v>
      </c>
      <c r="G55" s="1" t="s">
        <v>130</v>
      </c>
      <c r="H55" s="1">
        <v>1570</v>
      </c>
      <c r="I55" s="1">
        <f>IF(df_arabica_clean[[#This Row],[Altitude]] &lt;= 2500, df_arabica_clean[[#This Row],[Altitude]], ROUND(df_arabica_clean[[#This Row],[Altitude]] / 3.281, 0))</f>
        <v>1570</v>
      </c>
      <c r="J55" s="1" t="str">
        <f>IF(df_arabica_clean[[#This Row],[Altitude]]&gt;2500,"Convertido","Original")</f>
        <v>Original</v>
      </c>
      <c r="K55" s="1" t="s">
        <v>217</v>
      </c>
      <c r="L55" s="1" t="s">
        <v>130</v>
      </c>
      <c r="M55">
        <v>200</v>
      </c>
      <c r="N55" s="1" t="s">
        <v>106</v>
      </c>
      <c r="O55" s="1" t="s">
        <v>133</v>
      </c>
      <c r="P55" s="1" t="s">
        <v>134</v>
      </c>
      <c r="Q55" s="1" t="s">
        <v>135</v>
      </c>
      <c r="R55" s="1" t="s">
        <v>136</v>
      </c>
      <c r="S55" s="1" t="s">
        <v>137</v>
      </c>
      <c r="T55" s="1" t="s">
        <v>51</v>
      </c>
      <c r="U55" s="1" t="s">
        <v>67</v>
      </c>
      <c r="V55">
        <v>8.17</v>
      </c>
      <c r="W55">
        <v>8</v>
      </c>
      <c r="X55">
        <v>7.92</v>
      </c>
      <c r="Y55">
        <v>7.92</v>
      </c>
      <c r="Z55">
        <v>8.17</v>
      </c>
      <c r="AA55">
        <v>7.75</v>
      </c>
      <c r="AB55">
        <v>10</v>
      </c>
      <c r="AC55">
        <v>10</v>
      </c>
      <c r="AD55">
        <v>10</v>
      </c>
      <c r="AE55">
        <v>7.92</v>
      </c>
      <c r="AF55">
        <v>85.83</v>
      </c>
      <c r="AG55">
        <v>10</v>
      </c>
      <c r="AH55">
        <v>0</v>
      </c>
      <c r="AI55">
        <v>0</v>
      </c>
      <c r="AJ55" s="1" t="s">
        <v>125</v>
      </c>
      <c r="AK55">
        <v>0</v>
      </c>
      <c r="AL55" s="1" t="s">
        <v>138</v>
      </c>
      <c r="AM55" s="1" t="s">
        <v>133</v>
      </c>
      <c r="AN55" s="1" t="s">
        <v>139</v>
      </c>
      <c r="AO55" s="1" t="s">
        <v>140</v>
      </c>
      <c r="AP55" s="1">
        <f>AVERAGEIF(df_arabica_clean[Country of Origin],df_arabica_clean[[#This Row],[Country of Origin]],df_arabica_clean[Total Cup Points])</f>
        <v>84.734999999999999</v>
      </c>
      <c r="AQ55" s="1">
        <f>+COUNTIF(df_arabica_clean[Country of Origin],df_arabica_clean[[#This Row],[Country of Origin]])</f>
        <v>6</v>
      </c>
    </row>
    <row r="56" spans="1:43" x14ac:dyDescent="0.25">
      <c r="A56">
        <v>171</v>
      </c>
      <c r="B56">
        <v>171</v>
      </c>
      <c r="C56" s="1" t="s">
        <v>554</v>
      </c>
      <c r="D56" s="1" t="s">
        <v>555</v>
      </c>
      <c r="E56" s="1" t="s">
        <v>1066</v>
      </c>
      <c r="F56" s="1" t="s">
        <v>896</v>
      </c>
      <c r="G56" s="1" t="s">
        <v>558</v>
      </c>
      <c r="H56" s="1">
        <v>1368</v>
      </c>
      <c r="I56" s="1">
        <f>IF(df_arabica_clean[[#This Row],[Altitude]] &lt;= 2500, df_arabica_clean[[#This Row],[Altitude]], ROUND(df_arabica_clean[[#This Row],[Altitude]] / 3.281, 0))</f>
        <v>1368</v>
      </c>
      <c r="J56" s="1" t="str">
        <f>IF(df_arabica_clean[[#This Row],[Altitude]]&gt;2500,"Convertido","Original")</f>
        <v>Original</v>
      </c>
      <c r="K56" s="1" t="s">
        <v>897</v>
      </c>
      <c r="L56" s="1" t="s">
        <v>898</v>
      </c>
      <c r="M56">
        <v>125</v>
      </c>
      <c r="N56" s="1" t="s">
        <v>415</v>
      </c>
      <c r="O56" s="1" t="s">
        <v>561</v>
      </c>
      <c r="P56" s="1" t="s">
        <v>48</v>
      </c>
      <c r="Q56" s="1" t="s">
        <v>899</v>
      </c>
      <c r="R56" s="1" t="s">
        <v>563</v>
      </c>
      <c r="S56" s="1" t="s">
        <v>409</v>
      </c>
      <c r="T56" s="1" t="s">
        <v>51</v>
      </c>
      <c r="U56" s="1" t="s">
        <v>67</v>
      </c>
      <c r="V56">
        <v>7.67</v>
      </c>
      <c r="W56">
        <v>7.5</v>
      </c>
      <c r="X56">
        <v>7.25</v>
      </c>
      <c r="Y56">
        <v>7.5</v>
      </c>
      <c r="Z56">
        <v>7.5</v>
      </c>
      <c r="AA56">
        <v>7.33</v>
      </c>
      <c r="AB56">
        <v>10</v>
      </c>
      <c r="AC56">
        <v>10</v>
      </c>
      <c r="AD56">
        <v>10</v>
      </c>
      <c r="AE56">
        <v>7.42</v>
      </c>
      <c r="AF56">
        <v>82.17</v>
      </c>
      <c r="AG56">
        <v>10.6</v>
      </c>
      <c r="AH56">
        <v>0</v>
      </c>
      <c r="AI56">
        <v>0</v>
      </c>
      <c r="AJ56" s="1" t="s">
        <v>53</v>
      </c>
      <c r="AK56">
        <v>8</v>
      </c>
      <c r="AL56" s="1" t="s">
        <v>900</v>
      </c>
      <c r="AM56" s="1" t="s">
        <v>561</v>
      </c>
      <c r="AN56" s="1" t="s">
        <v>565</v>
      </c>
      <c r="AO56" s="1" t="s">
        <v>566</v>
      </c>
      <c r="AP56" s="5">
        <f>AVERAGEIF(df_arabica_clean[Country of Origin],df_arabica_clean[[#This Row],[Country of Origin]],df_arabica_clean[Total Cup Points])</f>
        <v>83.282307692307697</v>
      </c>
      <c r="AQ56" s="1">
        <f>+COUNTIF(df_arabica_clean[Country of Origin],df_arabica_clean[[#This Row],[Country of Origin]])</f>
        <v>13</v>
      </c>
    </row>
    <row r="57" spans="1:43" hidden="1" x14ac:dyDescent="0.25">
      <c r="A57">
        <v>22</v>
      </c>
      <c r="B57">
        <v>22</v>
      </c>
      <c r="C57" s="1" t="s">
        <v>233</v>
      </c>
      <c r="D57" s="1" t="s">
        <v>234</v>
      </c>
      <c r="E57" s="1" t="s">
        <v>235</v>
      </c>
      <c r="F57" s="1" t="s">
        <v>236</v>
      </c>
      <c r="G57" s="1" t="s">
        <v>237</v>
      </c>
      <c r="H57" s="1">
        <v>1500</v>
      </c>
      <c r="I57" s="1">
        <f>IF(df_arabica_clean[[#This Row],[Altitude]] &lt;= 2500, df_arabica_clean[[#This Row],[Altitude]], ROUND(df_arabica_clean[[#This Row],[Altitude]] / 3.281, 0))</f>
        <v>1500</v>
      </c>
      <c r="J57" s="1" t="str">
        <f>IF(df_arabica_clean[[#This Row],[Altitude]]&gt;2500,"Convertido","Original")</f>
        <v>Original</v>
      </c>
      <c r="K57" s="1" t="s">
        <v>238</v>
      </c>
      <c r="L57" s="1" t="s">
        <v>239</v>
      </c>
      <c r="M57">
        <v>2</v>
      </c>
      <c r="N57" s="1" t="s">
        <v>214</v>
      </c>
      <c r="O57" s="1" t="s">
        <v>240</v>
      </c>
      <c r="P57" s="1" t="s">
        <v>48</v>
      </c>
      <c r="Q57" s="1" t="s">
        <v>241</v>
      </c>
      <c r="R57" s="1" t="s">
        <v>242</v>
      </c>
      <c r="S57" s="1" t="s">
        <v>243</v>
      </c>
      <c r="T57" s="1" t="s">
        <v>51</v>
      </c>
      <c r="U57" s="1" t="s">
        <v>188</v>
      </c>
      <c r="V57">
        <v>7.67</v>
      </c>
      <c r="W57">
        <v>8</v>
      </c>
      <c r="X57">
        <v>7.83</v>
      </c>
      <c r="Y57">
        <v>8</v>
      </c>
      <c r="Z57">
        <v>8.08</v>
      </c>
      <c r="AA57">
        <v>8</v>
      </c>
      <c r="AB57">
        <v>10</v>
      </c>
      <c r="AC57">
        <v>10</v>
      </c>
      <c r="AD57">
        <v>10</v>
      </c>
      <c r="AE57">
        <v>8.08</v>
      </c>
      <c r="AF57">
        <v>85.67</v>
      </c>
      <c r="AG57">
        <v>9.8000000000000007</v>
      </c>
      <c r="AH57">
        <v>0</v>
      </c>
      <c r="AI57">
        <v>0</v>
      </c>
      <c r="AJ57" s="1" t="s">
        <v>244</v>
      </c>
      <c r="AK57">
        <v>5</v>
      </c>
      <c r="AL57" s="1" t="s">
        <v>245</v>
      </c>
      <c r="AM57" s="1" t="s">
        <v>240</v>
      </c>
      <c r="AN57" s="1" t="s">
        <v>246</v>
      </c>
      <c r="AO57" s="1" t="s">
        <v>247</v>
      </c>
      <c r="AP57" s="1">
        <f>AVERAGEIF(df_arabica_clean[Country of Origin],df_arabica_clean[[#This Row],[Country of Origin]],df_arabica_clean[Total Cup Points])</f>
        <v>82.827499999999986</v>
      </c>
      <c r="AQ57" s="1">
        <f>+COUNTIF(df_arabica_clean[Country of Origin],df_arabica_clean[[#This Row],[Country of Origin]])</f>
        <v>12</v>
      </c>
    </row>
    <row r="58" spans="1:43" x14ac:dyDescent="0.25">
      <c r="A58">
        <v>161</v>
      </c>
      <c r="B58">
        <v>161</v>
      </c>
      <c r="C58" s="1" t="s">
        <v>554</v>
      </c>
      <c r="D58" s="1" t="s">
        <v>555</v>
      </c>
      <c r="E58" s="1" t="s">
        <v>1027</v>
      </c>
      <c r="F58" s="1" t="s">
        <v>896</v>
      </c>
      <c r="G58" s="1" t="s">
        <v>558</v>
      </c>
      <c r="H58" s="1">
        <v>1368</v>
      </c>
      <c r="I58" s="1">
        <f>IF(df_arabica_clean[[#This Row],[Altitude]] &lt;= 2500, df_arabica_clean[[#This Row],[Altitude]], ROUND(df_arabica_clean[[#This Row],[Altitude]] / 3.281, 0))</f>
        <v>1368</v>
      </c>
      <c r="J58" s="1" t="str">
        <f>IF(df_arabica_clean[[#This Row],[Altitude]]&gt;2500,"Convertido","Original")</f>
        <v>Original</v>
      </c>
      <c r="K58" s="1" t="s">
        <v>897</v>
      </c>
      <c r="L58" s="1" t="s">
        <v>898</v>
      </c>
      <c r="M58">
        <v>345</v>
      </c>
      <c r="N58" s="1" t="s">
        <v>106</v>
      </c>
      <c r="O58" s="1" t="s">
        <v>561</v>
      </c>
      <c r="P58" s="1" t="s">
        <v>48</v>
      </c>
      <c r="Q58" s="1" t="s">
        <v>899</v>
      </c>
      <c r="R58" s="1" t="s">
        <v>563</v>
      </c>
      <c r="S58" s="1" t="s">
        <v>409</v>
      </c>
      <c r="T58" s="1" t="s">
        <v>51</v>
      </c>
      <c r="U58" s="1" t="s">
        <v>67</v>
      </c>
      <c r="V58">
        <v>7.58</v>
      </c>
      <c r="W58">
        <v>7.58</v>
      </c>
      <c r="X58">
        <v>7.33</v>
      </c>
      <c r="Y58">
        <v>7.5</v>
      </c>
      <c r="Z58">
        <v>7.58</v>
      </c>
      <c r="AA58">
        <v>7.42</v>
      </c>
      <c r="AB58">
        <v>10</v>
      </c>
      <c r="AC58">
        <v>10</v>
      </c>
      <c r="AD58">
        <v>10</v>
      </c>
      <c r="AE58">
        <v>7.5</v>
      </c>
      <c r="AF58">
        <v>82.5</v>
      </c>
      <c r="AG58">
        <v>10.6</v>
      </c>
      <c r="AH58">
        <v>0</v>
      </c>
      <c r="AI58">
        <v>0</v>
      </c>
      <c r="AJ58" s="1" t="s">
        <v>53</v>
      </c>
      <c r="AK58">
        <v>8</v>
      </c>
      <c r="AL58" s="1" t="s">
        <v>900</v>
      </c>
      <c r="AM58" s="1" t="s">
        <v>561</v>
      </c>
      <c r="AN58" s="1" t="s">
        <v>565</v>
      </c>
      <c r="AO58" s="1" t="s">
        <v>566</v>
      </c>
      <c r="AP58" s="5">
        <f>AVERAGEIF(df_arabica_clean[Country of Origin],df_arabica_clean[[#This Row],[Country of Origin]],df_arabica_clean[Total Cup Points])</f>
        <v>83.282307692307697</v>
      </c>
      <c r="AQ58" s="1">
        <f>+COUNTIF(df_arabica_clean[Country of Origin],df_arabica_clean[[#This Row],[Country of Origin]])</f>
        <v>13</v>
      </c>
    </row>
    <row r="59" spans="1:43" hidden="1" x14ac:dyDescent="0.25">
      <c r="A59">
        <v>81</v>
      </c>
      <c r="B59">
        <v>81</v>
      </c>
      <c r="C59" s="1" t="s">
        <v>623</v>
      </c>
      <c r="D59" s="1" t="s">
        <v>624</v>
      </c>
      <c r="E59" s="1" t="s">
        <v>235</v>
      </c>
      <c r="F59" s="1" t="s">
        <v>625</v>
      </c>
      <c r="G59" s="1" t="s">
        <v>626</v>
      </c>
      <c r="H59" s="1">
        <v>1500</v>
      </c>
      <c r="I59" s="1">
        <f>IF(df_arabica_clean[[#This Row],[Altitude]] &lt;= 2500, df_arabica_clean[[#This Row],[Altitude]], ROUND(df_arabica_clean[[#This Row],[Altitude]] / 3.281, 0))</f>
        <v>1500</v>
      </c>
      <c r="J59" s="1" t="str">
        <f>IF(df_arabica_clean[[#This Row],[Altitude]]&gt;2500,"Convertido","Original")</f>
        <v>Original</v>
      </c>
      <c r="K59" s="1" t="s">
        <v>627</v>
      </c>
      <c r="L59" s="1" t="s">
        <v>628</v>
      </c>
      <c r="M59">
        <v>5</v>
      </c>
      <c r="N59" s="1" t="s">
        <v>132</v>
      </c>
      <c r="O59" s="1" t="s">
        <v>435</v>
      </c>
      <c r="P59" s="1" t="s">
        <v>89</v>
      </c>
      <c r="Q59" s="1" t="s">
        <v>229</v>
      </c>
      <c r="R59" s="1" t="s">
        <v>628</v>
      </c>
      <c r="S59" s="1" t="s">
        <v>137</v>
      </c>
      <c r="T59" s="1" t="s">
        <v>51</v>
      </c>
      <c r="U59" s="1" t="s">
        <v>67</v>
      </c>
      <c r="V59">
        <v>7.92</v>
      </c>
      <c r="W59">
        <v>7.92</v>
      </c>
      <c r="X59">
        <v>7.58</v>
      </c>
      <c r="Y59">
        <v>7.75</v>
      </c>
      <c r="Z59">
        <v>7.58</v>
      </c>
      <c r="AA59">
        <v>7.67</v>
      </c>
      <c r="AB59">
        <v>10</v>
      </c>
      <c r="AC59">
        <v>10</v>
      </c>
      <c r="AD59">
        <v>10</v>
      </c>
      <c r="AE59">
        <v>7.83</v>
      </c>
      <c r="AF59">
        <v>84.25</v>
      </c>
      <c r="AG59">
        <v>12.1</v>
      </c>
      <c r="AH59">
        <v>0</v>
      </c>
      <c r="AI59">
        <v>0</v>
      </c>
      <c r="AJ59" s="1" t="s">
        <v>68</v>
      </c>
      <c r="AK59">
        <v>0</v>
      </c>
      <c r="AL59" s="1" t="s">
        <v>232</v>
      </c>
      <c r="AM59" s="1" t="s">
        <v>435</v>
      </c>
      <c r="AN59" s="1" t="s">
        <v>439</v>
      </c>
      <c r="AO59" s="1" t="s">
        <v>440</v>
      </c>
      <c r="AP59" s="4">
        <f>AVERAGEIF(df_arabica_clean[Country of Origin],df_arabica_clean[[#This Row],[Country of Origin]],df_arabica_clean[Total Cup Points])</f>
        <v>84.25</v>
      </c>
      <c r="AQ59" s="1">
        <f>+COUNTIF(df_arabica_clean[Country of Origin],df_arabica_clean[[#This Row],[Country of Origin]])</f>
        <v>1</v>
      </c>
    </row>
    <row r="60" spans="1:43" hidden="1" x14ac:dyDescent="0.25">
      <c r="A60">
        <v>170</v>
      </c>
      <c r="B60">
        <v>170</v>
      </c>
      <c r="C60" s="1" t="s">
        <v>333</v>
      </c>
      <c r="D60" s="1" t="s">
        <v>1060</v>
      </c>
      <c r="E60" s="1" t="s">
        <v>1061</v>
      </c>
      <c r="F60" s="1" t="s">
        <v>1062</v>
      </c>
      <c r="G60" s="1" t="s">
        <v>43</v>
      </c>
      <c r="H60" s="1">
        <v>1500</v>
      </c>
      <c r="I60" s="1">
        <f>IF(df_arabica_clean[[#This Row],[Altitude]] &lt;= 2500, df_arabica_clean[[#This Row],[Altitude]], ROUND(df_arabica_clean[[#This Row],[Altitude]] / 3.281, 0))</f>
        <v>1500</v>
      </c>
      <c r="J60" s="1" t="str">
        <f>IF(df_arabica_clean[[#This Row],[Altitude]]&gt;2500,"Convertido","Original")</f>
        <v>Original</v>
      </c>
      <c r="K60" s="1" t="s">
        <v>1063</v>
      </c>
      <c r="L60" s="1" t="s">
        <v>1064</v>
      </c>
      <c r="M60">
        <v>13</v>
      </c>
      <c r="N60" s="1" t="s">
        <v>192</v>
      </c>
      <c r="O60" s="1" t="s">
        <v>47</v>
      </c>
      <c r="P60" s="1" t="s">
        <v>89</v>
      </c>
      <c r="Q60" s="1" t="s">
        <v>193</v>
      </c>
      <c r="R60" s="1" t="s">
        <v>43</v>
      </c>
      <c r="S60" s="1" t="s">
        <v>1065</v>
      </c>
      <c r="T60" s="1" t="s">
        <v>51</v>
      </c>
      <c r="U60" s="1" t="s">
        <v>67</v>
      </c>
      <c r="V60">
        <v>7.5</v>
      </c>
      <c r="W60">
        <v>7.5</v>
      </c>
      <c r="X60">
        <v>7.42</v>
      </c>
      <c r="Y60">
        <v>7.5</v>
      </c>
      <c r="Z60">
        <v>7.25</v>
      </c>
      <c r="AA60">
        <v>7.5</v>
      </c>
      <c r="AB60">
        <v>10</v>
      </c>
      <c r="AC60">
        <v>10</v>
      </c>
      <c r="AD60">
        <v>10</v>
      </c>
      <c r="AE60">
        <v>7.5</v>
      </c>
      <c r="AF60">
        <v>82.17</v>
      </c>
      <c r="AG60">
        <v>11.2</v>
      </c>
      <c r="AH60">
        <v>0</v>
      </c>
      <c r="AI60">
        <v>0</v>
      </c>
      <c r="AJ60" s="1" t="s">
        <v>53</v>
      </c>
      <c r="AK60">
        <v>2</v>
      </c>
      <c r="AL60" s="1" t="s">
        <v>195</v>
      </c>
      <c r="AM60" s="1" t="s">
        <v>47</v>
      </c>
      <c r="AN60" s="1" t="s">
        <v>55</v>
      </c>
      <c r="AO60" s="1" t="s">
        <v>56</v>
      </c>
      <c r="AP60" s="1">
        <f>AVERAGEIF(df_arabica_clean[Country of Origin],df_arabica_clean[[#This Row],[Country of Origin]],df_arabica_clean[Total Cup Points])</f>
        <v>83.710000000000008</v>
      </c>
      <c r="AQ60" s="1">
        <f>+COUNTIF(df_arabica_clean[Country of Origin],df_arabica_clean[[#This Row],[Country of Origin]])</f>
        <v>2</v>
      </c>
    </row>
    <row r="61" spans="1:43" x14ac:dyDescent="0.25">
      <c r="A61">
        <v>137</v>
      </c>
      <c r="B61">
        <v>137</v>
      </c>
      <c r="C61" s="1" t="s">
        <v>554</v>
      </c>
      <c r="D61" s="1" t="s">
        <v>555</v>
      </c>
      <c r="E61" s="1" t="s">
        <v>895</v>
      </c>
      <c r="F61" s="1" t="s">
        <v>896</v>
      </c>
      <c r="G61" s="1" t="s">
        <v>896</v>
      </c>
      <c r="H61" s="1">
        <v>1368</v>
      </c>
      <c r="I61" s="1">
        <f>IF(df_arabica_clean[[#This Row],[Altitude]] &lt;= 2500, df_arabica_clean[[#This Row],[Altitude]], ROUND(df_arabica_clean[[#This Row],[Altitude]] / 3.281, 0))</f>
        <v>1368</v>
      </c>
      <c r="J61" s="1" t="str">
        <f>IF(df_arabica_clean[[#This Row],[Altitude]]&gt;2500,"Convertido","Original")</f>
        <v>Original</v>
      </c>
      <c r="K61" s="1" t="s">
        <v>897</v>
      </c>
      <c r="L61" s="1" t="s">
        <v>898</v>
      </c>
      <c r="M61">
        <v>250</v>
      </c>
      <c r="N61" s="1" t="s">
        <v>415</v>
      </c>
      <c r="O61" s="1" t="s">
        <v>561</v>
      </c>
      <c r="P61" s="1" t="s">
        <v>48</v>
      </c>
      <c r="Q61" s="1" t="s">
        <v>899</v>
      </c>
      <c r="R61" s="1" t="s">
        <v>563</v>
      </c>
      <c r="S61" s="1" t="s">
        <v>409</v>
      </c>
      <c r="T61" s="1" t="s">
        <v>51</v>
      </c>
      <c r="U61" s="1" t="s">
        <v>67</v>
      </c>
      <c r="V61">
        <v>7.67</v>
      </c>
      <c r="W61">
        <v>7.67</v>
      </c>
      <c r="X61">
        <v>7.5</v>
      </c>
      <c r="Y61">
        <v>7.58</v>
      </c>
      <c r="Z61">
        <v>7.58</v>
      </c>
      <c r="AA61">
        <v>7.5</v>
      </c>
      <c r="AB61">
        <v>10</v>
      </c>
      <c r="AC61">
        <v>10</v>
      </c>
      <c r="AD61">
        <v>10</v>
      </c>
      <c r="AE61">
        <v>7.58</v>
      </c>
      <c r="AF61">
        <v>83.08</v>
      </c>
      <c r="AG61">
        <v>10.6</v>
      </c>
      <c r="AH61">
        <v>0</v>
      </c>
      <c r="AI61">
        <v>2</v>
      </c>
      <c r="AJ61" s="1" t="s">
        <v>53</v>
      </c>
      <c r="AK61">
        <v>7</v>
      </c>
      <c r="AL61" s="1" t="s">
        <v>900</v>
      </c>
      <c r="AM61" s="1" t="s">
        <v>561</v>
      </c>
      <c r="AN61" s="1" t="s">
        <v>565</v>
      </c>
      <c r="AO61" s="1" t="s">
        <v>566</v>
      </c>
      <c r="AP61" s="5">
        <f>AVERAGEIF(df_arabica_clean[Country of Origin],df_arabica_clean[[#This Row],[Country of Origin]],df_arabica_clean[Total Cup Points])</f>
        <v>83.282307692307697</v>
      </c>
      <c r="AQ61" s="1">
        <f>+COUNTIF(df_arabica_clean[Country of Origin],df_arabica_clean[[#This Row],[Country of Origin]])</f>
        <v>13</v>
      </c>
    </row>
    <row r="62" spans="1:43" x14ac:dyDescent="0.25">
      <c r="A62">
        <v>133</v>
      </c>
      <c r="B62">
        <v>133</v>
      </c>
      <c r="C62" s="1" t="s">
        <v>554</v>
      </c>
      <c r="D62" s="1" t="s">
        <v>781</v>
      </c>
      <c r="E62" s="1" t="s">
        <v>881</v>
      </c>
      <c r="F62" s="1" t="s">
        <v>783</v>
      </c>
      <c r="G62" s="1" t="s">
        <v>784</v>
      </c>
      <c r="H62" s="1">
        <v>1400</v>
      </c>
      <c r="I62" s="1">
        <f>IF(df_arabica_clean[[#This Row],[Altitude]] &lt;= 2500, df_arabica_clean[[#This Row],[Altitude]], ROUND(df_arabica_clean[[#This Row],[Altitude]] / 3.281, 0))</f>
        <v>1400</v>
      </c>
      <c r="J62" s="1" t="str">
        <f>IF(df_arabica_clean[[#This Row],[Altitude]]&gt;2500,"Convertido","Original")</f>
        <v>Original</v>
      </c>
      <c r="K62" s="1" t="s">
        <v>785</v>
      </c>
      <c r="L62" s="1" t="s">
        <v>786</v>
      </c>
      <c r="M62">
        <v>260</v>
      </c>
      <c r="N62" s="1" t="s">
        <v>415</v>
      </c>
      <c r="O62" s="1" t="s">
        <v>561</v>
      </c>
      <c r="P62" s="1" t="s">
        <v>48</v>
      </c>
      <c r="Q62" s="1" t="s">
        <v>787</v>
      </c>
      <c r="R62" s="1" t="s">
        <v>788</v>
      </c>
      <c r="S62" s="1" t="s">
        <v>409</v>
      </c>
      <c r="T62" s="1" t="s">
        <v>51</v>
      </c>
      <c r="U62" s="1" t="s">
        <v>67</v>
      </c>
      <c r="V62">
        <v>7.75</v>
      </c>
      <c r="W62">
        <v>7.58</v>
      </c>
      <c r="X62">
        <v>7.58</v>
      </c>
      <c r="Y62">
        <v>7.58</v>
      </c>
      <c r="Z62">
        <v>7.5</v>
      </c>
      <c r="AA62">
        <v>7.58</v>
      </c>
      <c r="AB62">
        <v>10</v>
      </c>
      <c r="AC62">
        <v>10</v>
      </c>
      <c r="AD62">
        <v>10</v>
      </c>
      <c r="AE62">
        <v>7.67</v>
      </c>
      <c r="AF62">
        <v>83.25</v>
      </c>
      <c r="AG62">
        <v>11.3</v>
      </c>
      <c r="AH62">
        <v>0</v>
      </c>
      <c r="AI62">
        <v>1</v>
      </c>
      <c r="AJ62" s="1" t="s">
        <v>53</v>
      </c>
      <c r="AK62">
        <v>5</v>
      </c>
      <c r="AL62" s="1" t="s">
        <v>790</v>
      </c>
      <c r="AM62" s="1" t="s">
        <v>561</v>
      </c>
      <c r="AN62" s="1" t="s">
        <v>565</v>
      </c>
      <c r="AO62" s="1" t="s">
        <v>566</v>
      </c>
      <c r="AP62" s="5">
        <f>AVERAGEIF(df_arabica_clean[Country of Origin],df_arabica_clean[[#This Row],[Country of Origin]],df_arabica_clean[Total Cup Points])</f>
        <v>83.282307692307697</v>
      </c>
      <c r="AQ62" s="1">
        <f>+COUNTIF(df_arabica_clean[Country of Origin],df_arabica_clean[[#This Row],[Country of Origin]])</f>
        <v>13</v>
      </c>
    </row>
    <row r="63" spans="1:43" x14ac:dyDescent="0.25">
      <c r="A63">
        <v>113</v>
      </c>
      <c r="B63">
        <v>113</v>
      </c>
      <c r="C63" s="1" t="s">
        <v>554</v>
      </c>
      <c r="D63" s="1" t="s">
        <v>781</v>
      </c>
      <c r="E63" s="1" t="s">
        <v>782</v>
      </c>
      <c r="F63" s="1" t="s">
        <v>783</v>
      </c>
      <c r="G63" s="1" t="s">
        <v>784</v>
      </c>
      <c r="H63" s="1">
        <v>1400</v>
      </c>
      <c r="I63" s="1">
        <f>IF(df_arabica_clean[[#This Row],[Altitude]] &lt;= 2500, df_arabica_clean[[#This Row],[Altitude]], ROUND(df_arabica_clean[[#This Row],[Altitude]] / 3.281, 0))</f>
        <v>1400</v>
      </c>
      <c r="J63" s="1" t="str">
        <f>IF(df_arabica_clean[[#This Row],[Altitude]]&gt;2500,"Convertido","Original")</f>
        <v>Original</v>
      </c>
      <c r="K63" s="1" t="s">
        <v>785</v>
      </c>
      <c r="L63" s="1" t="s">
        <v>786</v>
      </c>
      <c r="M63">
        <v>260</v>
      </c>
      <c r="N63" s="1" t="s">
        <v>415</v>
      </c>
      <c r="O63" s="1" t="s">
        <v>561</v>
      </c>
      <c r="P63" s="1" t="s">
        <v>48</v>
      </c>
      <c r="Q63" s="1" t="s">
        <v>787</v>
      </c>
      <c r="R63" s="1" t="s">
        <v>788</v>
      </c>
      <c r="S63" s="1" t="s">
        <v>789</v>
      </c>
      <c r="T63" s="1" t="s">
        <v>51</v>
      </c>
      <c r="U63" s="1" t="s">
        <v>67</v>
      </c>
      <c r="V63">
        <v>7.75</v>
      </c>
      <c r="W63">
        <v>7.67</v>
      </c>
      <c r="X63">
        <v>7.58</v>
      </c>
      <c r="Y63">
        <v>7.58</v>
      </c>
      <c r="Z63">
        <v>7.58</v>
      </c>
      <c r="AA63">
        <v>7.67</v>
      </c>
      <c r="AB63">
        <v>10</v>
      </c>
      <c r="AC63">
        <v>10</v>
      </c>
      <c r="AD63">
        <v>10</v>
      </c>
      <c r="AE63">
        <v>7.67</v>
      </c>
      <c r="AF63">
        <v>83.5</v>
      </c>
      <c r="AG63">
        <v>11.2</v>
      </c>
      <c r="AH63">
        <v>0</v>
      </c>
      <c r="AI63">
        <v>1</v>
      </c>
      <c r="AJ63" s="1" t="s">
        <v>53</v>
      </c>
      <c r="AK63">
        <v>5</v>
      </c>
      <c r="AL63" s="1" t="s">
        <v>790</v>
      </c>
      <c r="AM63" s="1" t="s">
        <v>561</v>
      </c>
      <c r="AN63" s="1" t="s">
        <v>565</v>
      </c>
      <c r="AO63" s="1" t="s">
        <v>566</v>
      </c>
      <c r="AP63" s="5">
        <f>AVERAGEIF(df_arabica_clean[Country of Origin],df_arabica_clean[[#This Row],[Country of Origin]],df_arabica_clean[Total Cup Points])</f>
        <v>83.282307692307697</v>
      </c>
      <c r="AQ63" s="1">
        <f>+COUNTIF(df_arabica_clean[Country of Origin],df_arabica_clean[[#This Row],[Country of Origin]])</f>
        <v>13</v>
      </c>
    </row>
    <row r="64" spans="1:43" hidden="1" x14ac:dyDescent="0.25">
      <c r="A64">
        <v>66</v>
      </c>
      <c r="B64">
        <v>66</v>
      </c>
      <c r="C64" s="1" t="s">
        <v>57</v>
      </c>
      <c r="D64" s="1" t="s">
        <v>537</v>
      </c>
      <c r="E64" s="1" t="s">
        <v>538</v>
      </c>
      <c r="F64" s="1" t="s">
        <v>537</v>
      </c>
      <c r="G64" s="1" t="s">
        <v>60</v>
      </c>
      <c r="H64" s="1">
        <v>1450</v>
      </c>
      <c r="I64" s="1">
        <f>IF(df_arabica_clean[[#This Row],[Altitude]] &lt;= 2500, df_arabica_clean[[#This Row],[Altitude]], ROUND(df_arabica_clean[[#This Row],[Altitude]] / 3.281, 0))</f>
        <v>1450</v>
      </c>
      <c r="J64" s="1" t="str">
        <f>IF(df_arabica_clean[[#This Row],[Altitude]]&gt;2500,"Convertido","Original")</f>
        <v>Original</v>
      </c>
      <c r="K64" s="1" t="s">
        <v>61</v>
      </c>
      <c r="L64" s="1" t="s">
        <v>539</v>
      </c>
      <c r="M64">
        <v>1</v>
      </c>
      <c r="N64" s="1" t="s">
        <v>540</v>
      </c>
      <c r="O64" s="1" t="s">
        <v>64</v>
      </c>
      <c r="P64" s="1" t="s">
        <v>48</v>
      </c>
      <c r="Q64" s="1" t="s">
        <v>65</v>
      </c>
      <c r="R64" s="1" t="s">
        <v>64</v>
      </c>
      <c r="S64" s="1" t="s">
        <v>124</v>
      </c>
      <c r="T64" s="1" t="s">
        <v>51</v>
      </c>
      <c r="U64" s="1" t="s">
        <v>118</v>
      </c>
      <c r="V64">
        <v>7.83</v>
      </c>
      <c r="W64">
        <v>8</v>
      </c>
      <c r="X64">
        <v>7.67</v>
      </c>
      <c r="Y64">
        <v>7.75</v>
      </c>
      <c r="Z64">
        <v>7.67</v>
      </c>
      <c r="AA64">
        <v>7.75</v>
      </c>
      <c r="AB64">
        <v>10</v>
      </c>
      <c r="AC64">
        <v>10</v>
      </c>
      <c r="AD64">
        <v>10</v>
      </c>
      <c r="AE64">
        <v>7.92</v>
      </c>
      <c r="AF64">
        <v>84.58</v>
      </c>
      <c r="AG64">
        <v>10.3</v>
      </c>
      <c r="AH64">
        <v>0</v>
      </c>
      <c r="AI64">
        <v>0</v>
      </c>
      <c r="AJ64" s="1" t="s">
        <v>53</v>
      </c>
      <c r="AK64">
        <v>0</v>
      </c>
      <c r="AL64" s="1" t="s">
        <v>69</v>
      </c>
      <c r="AM64" s="1" t="s">
        <v>64</v>
      </c>
      <c r="AN64" s="1" t="s">
        <v>70</v>
      </c>
      <c r="AO64" s="1" t="s">
        <v>71</v>
      </c>
      <c r="AP64" s="1">
        <f>AVERAGEIF(df_arabica_clean[Country of Origin],df_arabica_clean[[#This Row],[Country of Origin]],df_arabica_clean[Total Cup Points])</f>
        <v>84.350327868852446</v>
      </c>
      <c r="AQ64" s="1">
        <f>+COUNTIF(df_arabica_clean[Country of Origin],df_arabica_clean[[#This Row],[Country of Origin]])</f>
        <v>61</v>
      </c>
    </row>
    <row r="65" spans="1:43" x14ac:dyDescent="0.25">
      <c r="A65">
        <v>138</v>
      </c>
      <c r="B65">
        <v>138</v>
      </c>
      <c r="C65" s="1" t="s">
        <v>554</v>
      </c>
      <c r="D65" s="1" t="s">
        <v>901</v>
      </c>
      <c r="E65" s="1" t="s">
        <v>902</v>
      </c>
      <c r="F65" s="1" t="s">
        <v>903</v>
      </c>
      <c r="G65" s="1" t="s">
        <v>903</v>
      </c>
      <c r="H65" s="1">
        <v>1450</v>
      </c>
      <c r="I65" s="1">
        <f>IF(df_arabica_clean[[#This Row],[Altitude]] &lt;= 2500, df_arabica_clean[[#This Row],[Altitude]], ROUND(df_arabica_clean[[#This Row],[Altitude]] / 3.281, 0))</f>
        <v>1450</v>
      </c>
      <c r="J65" s="1" t="str">
        <f>IF(df_arabica_clean[[#This Row],[Altitude]]&gt;2500,"Convertido","Original")</f>
        <v>Original</v>
      </c>
      <c r="K65" s="1" t="s">
        <v>904</v>
      </c>
      <c r="L65" s="1" t="s">
        <v>905</v>
      </c>
      <c r="M65">
        <v>325</v>
      </c>
      <c r="N65" s="1" t="s">
        <v>415</v>
      </c>
      <c r="O65" s="1" t="s">
        <v>561</v>
      </c>
      <c r="P65" s="1" t="s">
        <v>134</v>
      </c>
      <c r="Q65" s="1" t="s">
        <v>562</v>
      </c>
      <c r="R65" s="1" t="s">
        <v>903</v>
      </c>
      <c r="S65" s="1" t="s">
        <v>409</v>
      </c>
      <c r="T65" s="1" t="s">
        <v>51</v>
      </c>
      <c r="U65" s="1" t="s">
        <v>67</v>
      </c>
      <c r="V65">
        <v>7.75</v>
      </c>
      <c r="W65">
        <v>7.58</v>
      </c>
      <c r="X65">
        <v>7.58</v>
      </c>
      <c r="Y65">
        <v>7.58</v>
      </c>
      <c r="Z65">
        <v>7.58</v>
      </c>
      <c r="AA65">
        <v>7.5</v>
      </c>
      <c r="AB65">
        <v>10</v>
      </c>
      <c r="AC65">
        <v>10</v>
      </c>
      <c r="AD65">
        <v>10</v>
      </c>
      <c r="AE65">
        <v>7.5</v>
      </c>
      <c r="AF65">
        <v>83.08</v>
      </c>
      <c r="AG65">
        <v>9.6</v>
      </c>
      <c r="AH65">
        <v>0</v>
      </c>
      <c r="AI65">
        <v>0</v>
      </c>
      <c r="AJ65" s="1" t="s">
        <v>53</v>
      </c>
      <c r="AK65">
        <v>2</v>
      </c>
      <c r="AL65" s="1" t="s">
        <v>564</v>
      </c>
      <c r="AM65" s="1" t="s">
        <v>561</v>
      </c>
      <c r="AN65" s="1" t="s">
        <v>565</v>
      </c>
      <c r="AO65" s="1" t="s">
        <v>566</v>
      </c>
      <c r="AP65" s="5">
        <f>AVERAGEIF(df_arabica_clean[Country of Origin],df_arabica_clean[[#This Row],[Country of Origin]],df_arabica_clean[Total Cup Points])</f>
        <v>83.282307692307697</v>
      </c>
      <c r="AQ65" s="1">
        <f>+COUNTIF(df_arabica_clean[Country of Origin],df_arabica_clean[[#This Row],[Country of Origin]])</f>
        <v>13</v>
      </c>
    </row>
    <row r="66" spans="1:43" x14ac:dyDescent="0.25">
      <c r="A66">
        <v>152</v>
      </c>
      <c r="B66">
        <v>152</v>
      </c>
      <c r="C66" s="1" t="s">
        <v>554</v>
      </c>
      <c r="D66" s="1" t="s">
        <v>901</v>
      </c>
      <c r="E66" s="1" t="s">
        <v>983</v>
      </c>
      <c r="F66" s="1" t="s">
        <v>903</v>
      </c>
      <c r="G66" s="1" t="s">
        <v>903</v>
      </c>
      <c r="H66" s="1">
        <v>1450</v>
      </c>
      <c r="I66" s="1">
        <f>IF(df_arabica_clean[[#This Row],[Altitude]] &lt;= 2500, df_arabica_clean[[#This Row],[Altitude]], ROUND(df_arabica_clean[[#This Row],[Altitude]] / 3.281, 0))</f>
        <v>1450</v>
      </c>
      <c r="J66" s="1" t="str">
        <f>IF(df_arabica_clean[[#This Row],[Altitude]]&gt;2500,"Convertido","Original")</f>
        <v>Original</v>
      </c>
      <c r="K66" s="1" t="s">
        <v>984</v>
      </c>
      <c r="L66" s="1" t="s">
        <v>905</v>
      </c>
      <c r="M66">
        <v>325</v>
      </c>
      <c r="N66" s="1" t="s">
        <v>415</v>
      </c>
      <c r="O66" s="1" t="s">
        <v>561</v>
      </c>
      <c r="P66" s="1" t="s">
        <v>134</v>
      </c>
      <c r="Q66" s="1" t="s">
        <v>562</v>
      </c>
      <c r="R66" s="1" t="s">
        <v>903</v>
      </c>
      <c r="S66" s="1" t="s">
        <v>409</v>
      </c>
      <c r="T66" s="1" t="s">
        <v>51</v>
      </c>
      <c r="U66" s="1" t="s">
        <v>67</v>
      </c>
      <c r="V66">
        <v>7.67</v>
      </c>
      <c r="W66">
        <v>7.58</v>
      </c>
      <c r="X66">
        <v>7.33</v>
      </c>
      <c r="Y66">
        <v>7.5</v>
      </c>
      <c r="Z66">
        <v>7.58</v>
      </c>
      <c r="AA66">
        <v>7.5</v>
      </c>
      <c r="AB66">
        <v>10</v>
      </c>
      <c r="AC66">
        <v>10</v>
      </c>
      <c r="AD66">
        <v>10</v>
      </c>
      <c r="AE66">
        <v>7.5</v>
      </c>
      <c r="AF66">
        <v>82.67</v>
      </c>
      <c r="AG66">
        <v>9.6</v>
      </c>
      <c r="AH66">
        <v>0</v>
      </c>
      <c r="AI66">
        <v>0</v>
      </c>
      <c r="AJ66" s="1" t="s">
        <v>53</v>
      </c>
      <c r="AK66">
        <v>2</v>
      </c>
      <c r="AL66" s="1" t="s">
        <v>564</v>
      </c>
      <c r="AM66" s="1" t="s">
        <v>561</v>
      </c>
      <c r="AN66" s="1" t="s">
        <v>565</v>
      </c>
      <c r="AO66" s="1" t="s">
        <v>566</v>
      </c>
      <c r="AP66" s="5">
        <f>AVERAGEIF(df_arabica_clean[Country of Origin],df_arabica_clean[[#This Row],[Country of Origin]],df_arabica_clean[Total Cup Points])</f>
        <v>83.282307692307697</v>
      </c>
      <c r="AQ66" s="1">
        <f>+COUNTIF(df_arabica_clean[Country of Origin],df_arabica_clean[[#This Row],[Country of Origin]])</f>
        <v>13</v>
      </c>
    </row>
    <row r="67" spans="1:43" hidden="1" x14ac:dyDescent="0.25">
      <c r="A67">
        <v>117</v>
      </c>
      <c r="B67">
        <v>117</v>
      </c>
      <c r="C67" s="1" t="s">
        <v>233</v>
      </c>
      <c r="D67" s="1" t="s">
        <v>806</v>
      </c>
      <c r="E67" s="1" t="s">
        <v>807</v>
      </c>
      <c r="F67" s="1" t="s">
        <v>806</v>
      </c>
      <c r="G67" s="1" t="s">
        <v>43</v>
      </c>
      <c r="H67" s="1">
        <v>1450</v>
      </c>
      <c r="I67" s="1">
        <f>IF(df_arabica_clean[[#This Row],[Altitude]] &lt;= 2500, df_arabica_clean[[#This Row],[Altitude]], ROUND(df_arabica_clean[[#This Row],[Altitude]] / 3.281, 0))</f>
        <v>1450</v>
      </c>
      <c r="J67" s="1" t="str">
        <f>IF(df_arabica_clean[[#This Row],[Altitude]]&gt;2500,"Convertido","Original")</f>
        <v>Original</v>
      </c>
      <c r="K67" s="1" t="s">
        <v>808</v>
      </c>
      <c r="L67" s="1" t="s">
        <v>809</v>
      </c>
      <c r="M67">
        <v>5</v>
      </c>
      <c r="N67" s="1" t="s">
        <v>202</v>
      </c>
      <c r="O67" s="1" t="s">
        <v>47</v>
      </c>
      <c r="P67" s="1" t="s">
        <v>89</v>
      </c>
      <c r="Q67" s="1" t="s">
        <v>810</v>
      </c>
      <c r="R67" s="1" t="s">
        <v>43</v>
      </c>
      <c r="S67" s="1" t="s">
        <v>79</v>
      </c>
      <c r="T67" s="1" t="s">
        <v>51</v>
      </c>
      <c r="U67" s="1" t="s">
        <v>67</v>
      </c>
      <c r="V67">
        <v>7.67</v>
      </c>
      <c r="W67">
        <v>7.67</v>
      </c>
      <c r="X67">
        <v>7.5</v>
      </c>
      <c r="Y67">
        <v>7.67</v>
      </c>
      <c r="Z67">
        <v>7.58</v>
      </c>
      <c r="AA67">
        <v>7.67</v>
      </c>
      <c r="AB67">
        <v>10</v>
      </c>
      <c r="AC67">
        <v>10</v>
      </c>
      <c r="AD67">
        <v>10</v>
      </c>
      <c r="AE67">
        <v>7.67</v>
      </c>
      <c r="AF67">
        <v>83.42</v>
      </c>
      <c r="AG67">
        <v>11.6</v>
      </c>
      <c r="AH67">
        <v>0</v>
      </c>
      <c r="AI67">
        <v>2</v>
      </c>
      <c r="AJ67" s="1" t="s">
        <v>53</v>
      </c>
      <c r="AK67">
        <v>0</v>
      </c>
      <c r="AL67" s="1" t="s">
        <v>811</v>
      </c>
      <c r="AM67" s="1" t="s">
        <v>47</v>
      </c>
      <c r="AN67" s="1" t="s">
        <v>55</v>
      </c>
      <c r="AO67" s="1" t="s">
        <v>56</v>
      </c>
      <c r="AP67" s="4">
        <f>AVERAGEIF(df_arabica_clean[Country of Origin],df_arabica_clean[[#This Row],[Country of Origin]],df_arabica_clean[Total Cup Points])</f>
        <v>82.827499999999986</v>
      </c>
      <c r="AQ67" s="1">
        <f>+COUNTIF(df_arabica_clean[Country of Origin],df_arabica_clean[[#This Row],[Country of Origin]])</f>
        <v>12</v>
      </c>
    </row>
    <row r="68" spans="1:43" x14ac:dyDescent="0.25">
      <c r="A68">
        <v>109</v>
      </c>
      <c r="B68">
        <v>109</v>
      </c>
      <c r="C68" s="1" t="s">
        <v>554</v>
      </c>
      <c r="D68" s="1" t="s">
        <v>765</v>
      </c>
      <c r="E68" s="1" t="s">
        <v>766</v>
      </c>
      <c r="F68" s="1" t="s">
        <v>767</v>
      </c>
      <c r="G68" s="1" t="s">
        <v>60</v>
      </c>
      <c r="H68" s="1">
        <v>1470</v>
      </c>
      <c r="I68" s="1">
        <f>IF(df_arabica_clean[[#This Row],[Altitude]] &lt;= 2500, df_arabica_clean[[#This Row],[Altitude]], ROUND(df_arabica_clean[[#This Row],[Altitude]] / 3.281, 0))</f>
        <v>1470</v>
      </c>
      <c r="J68" s="1" t="str">
        <f>IF(df_arabica_clean[[#This Row],[Altitude]]&gt;2500,"Convertido","Original")</f>
        <v>Original</v>
      </c>
      <c r="K68" s="1" t="s">
        <v>768</v>
      </c>
      <c r="L68" s="1" t="s">
        <v>769</v>
      </c>
      <c r="M68">
        <v>9</v>
      </c>
      <c r="N68" s="1" t="s">
        <v>157</v>
      </c>
      <c r="O68" s="1" t="s">
        <v>64</v>
      </c>
      <c r="P68" s="1" t="s">
        <v>158</v>
      </c>
      <c r="Q68" s="1" t="s">
        <v>65</v>
      </c>
      <c r="R68" s="1" t="s">
        <v>64</v>
      </c>
      <c r="S68" s="1" t="s">
        <v>770</v>
      </c>
      <c r="T68" s="1" t="s">
        <v>51</v>
      </c>
      <c r="U68" s="1" t="s">
        <v>118</v>
      </c>
      <c r="V68">
        <v>7.67</v>
      </c>
      <c r="W68">
        <v>7.67</v>
      </c>
      <c r="X68">
        <v>7.58</v>
      </c>
      <c r="Y68">
        <v>7.75</v>
      </c>
      <c r="Z68">
        <v>7.67</v>
      </c>
      <c r="AA68">
        <v>7.67</v>
      </c>
      <c r="AB68">
        <v>10</v>
      </c>
      <c r="AC68">
        <v>10</v>
      </c>
      <c r="AD68">
        <v>10</v>
      </c>
      <c r="AE68">
        <v>7.67</v>
      </c>
      <c r="AF68">
        <v>83.67</v>
      </c>
      <c r="AG68">
        <v>11.1</v>
      </c>
      <c r="AH68">
        <v>0</v>
      </c>
      <c r="AI68">
        <v>2</v>
      </c>
      <c r="AJ68" s="1" t="s">
        <v>368</v>
      </c>
      <c r="AK68">
        <v>1</v>
      </c>
      <c r="AL68" s="1" t="s">
        <v>69</v>
      </c>
      <c r="AM68" s="1" t="s">
        <v>64</v>
      </c>
      <c r="AN68" s="1" t="s">
        <v>70</v>
      </c>
      <c r="AO68" s="1" t="s">
        <v>71</v>
      </c>
      <c r="AP68" s="5">
        <f>AVERAGEIF(df_arabica_clean[Country of Origin],df_arabica_clean[[#This Row],[Country of Origin]],df_arabica_clean[Total Cup Points])</f>
        <v>83.282307692307697</v>
      </c>
      <c r="AQ68" s="1">
        <f>+COUNTIF(df_arabica_clean[Country of Origin],df_arabica_clean[[#This Row],[Country of Origin]])</f>
        <v>13</v>
      </c>
    </row>
    <row r="69" spans="1:43" x14ac:dyDescent="0.25">
      <c r="A69">
        <v>132</v>
      </c>
      <c r="B69">
        <v>132</v>
      </c>
      <c r="C69" s="1" t="s">
        <v>554</v>
      </c>
      <c r="D69" s="1" t="s">
        <v>875</v>
      </c>
      <c r="E69" s="1" t="s">
        <v>876</v>
      </c>
      <c r="F69" s="1" t="s">
        <v>877</v>
      </c>
      <c r="G69" s="1" t="s">
        <v>60</v>
      </c>
      <c r="H69" s="1">
        <v>1600</v>
      </c>
      <c r="I69" s="1">
        <f>IF(df_arabica_clean[[#This Row],[Altitude]] &lt;= 2500, df_arabica_clean[[#This Row],[Altitude]], ROUND(df_arabica_clean[[#This Row],[Altitude]] / 3.281, 0))</f>
        <v>1600</v>
      </c>
      <c r="J69" s="1" t="str">
        <f>IF(df_arabica_clean[[#This Row],[Altitude]]&gt;2500,"Convertido","Original")</f>
        <v>Original</v>
      </c>
      <c r="K69" s="1" t="s">
        <v>878</v>
      </c>
      <c r="L69" s="1" t="s">
        <v>879</v>
      </c>
      <c r="M69">
        <v>9</v>
      </c>
      <c r="N69" s="1" t="s">
        <v>157</v>
      </c>
      <c r="O69" s="1" t="s">
        <v>64</v>
      </c>
      <c r="P69" s="1" t="s">
        <v>158</v>
      </c>
      <c r="Q69" s="1" t="s">
        <v>65</v>
      </c>
      <c r="R69" s="1" t="s">
        <v>64</v>
      </c>
      <c r="S69" s="1" t="s">
        <v>880</v>
      </c>
      <c r="T69" s="1" t="s">
        <v>51</v>
      </c>
      <c r="U69" s="1" t="s">
        <v>67</v>
      </c>
      <c r="V69">
        <v>7.67</v>
      </c>
      <c r="W69">
        <v>7.75</v>
      </c>
      <c r="X69">
        <v>7.67</v>
      </c>
      <c r="Y69">
        <v>7.58</v>
      </c>
      <c r="Z69">
        <v>7.5</v>
      </c>
      <c r="AA69">
        <v>7.58</v>
      </c>
      <c r="AB69">
        <v>10</v>
      </c>
      <c r="AC69">
        <v>10</v>
      </c>
      <c r="AD69">
        <v>10</v>
      </c>
      <c r="AE69">
        <v>7.5</v>
      </c>
      <c r="AF69">
        <v>83.25</v>
      </c>
      <c r="AG69">
        <v>10.5</v>
      </c>
      <c r="AH69">
        <v>0</v>
      </c>
      <c r="AI69">
        <v>0</v>
      </c>
      <c r="AJ69" s="1" t="s">
        <v>257</v>
      </c>
      <c r="AK69">
        <v>3</v>
      </c>
      <c r="AL69" s="1" t="s">
        <v>69</v>
      </c>
      <c r="AM69" s="1" t="s">
        <v>64</v>
      </c>
      <c r="AN69" s="1" t="s">
        <v>70</v>
      </c>
      <c r="AO69" s="1" t="s">
        <v>71</v>
      </c>
      <c r="AP69" s="5">
        <f>AVERAGEIF(df_arabica_clean[Country of Origin],df_arabica_clean[[#This Row],[Country of Origin]],df_arabica_clean[Total Cup Points])</f>
        <v>83.282307692307697</v>
      </c>
      <c r="AQ69" s="1">
        <f>+COUNTIF(df_arabica_clean[Country of Origin],df_arabica_clean[[#This Row],[Country of Origin]])</f>
        <v>13</v>
      </c>
    </row>
    <row r="70" spans="1:43" hidden="1" x14ac:dyDescent="0.25">
      <c r="A70">
        <v>191</v>
      </c>
      <c r="B70">
        <v>191</v>
      </c>
      <c r="C70" s="1" t="s">
        <v>233</v>
      </c>
      <c r="D70" s="1" t="s">
        <v>1157</v>
      </c>
      <c r="E70" s="1" t="s">
        <v>1158</v>
      </c>
      <c r="F70" s="1" t="s">
        <v>1159</v>
      </c>
      <c r="G70" s="1" t="s">
        <v>60</v>
      </c>
      <c r="H70" s="1">
        <v>1400</v>
      </c>
      <c r="I70" s="1">
        <f>IF(df_arabica_clean[[#This Row],[Altitude]] &lt;= 2500, df_arabica_clean[[#This Row],[Altitude]], ROUND(df_arabica_clean[[#This Row],[Altitude]] / 3.281, 0))</f>
        <v>1400</v>
      </c>
      <c r="J70" s="1" t="str">
        <f>IF(df_arabica_clean[[#This Row],[Altitude]]&gt;2500,"Convertido","Original")</f>
        <v>Original</v>
      </c>
      <c r="K70" s="1" t="s">
        <v>1160</v>
      </c>
      <c r="L70" s="1" t="s">
        <v>1161</v>
      </c>
      <c r="M70">
        <v>5</v>
      </c>
      <c r="N70" s="1" t="s">
        <v>157</v>
      </c>
      <c r="O70" s="1" t="s">
        <v>64</v>
      </c>
      <c r="P70" s="1" t="s">
        <v>158</v>
      </c>
      <c r="Q70" s="1" t="s">
        <v>65</v>
      </c>
      <c r="R70" s="1" t="s">
        <v>159</v>
      </c>
      <c r="S70" s="1" t="s">
        <v>1162</v>
      </c>
      <c r="T70" s="1" t="s">
        <v>51</v>
      </c>
      <c r="U70" s="1" t="s">
        <v>118</v>
      </c>
      <c r="V70">
        <v>7.42</v>
      </c>
      <c r="W70">
        <v>7.25</v>
      </c>
      <c r="X70">
        <v>7.33</v>
      </c>
      <c r="Y70">
        <v>7.42</v>
      </c>
      <c r="Z70">
        <v>7.33</v>
      </c>
      <c r="AA70">
        <v>7.33</v>
      </c>
      <c r="AB70">
        <v>10</v>
      </c>
      <c r="AC70">
        <v>10</v>
      </c>
      <c r="AD70">
        <v>10</v>
      </c>
      <c r="AE70">
        <v>7.25</v>
      </c>
      <c r="AF70">
        <v>81.33</v>
      </c>
      <c r="AG70">
        <v>10.5</v>
      </c>
      <c r="AH70">
        <v>0</v>
      </c>
      <c r="AI70">
        <v>0</v>
      </c>
      <c r="AJ70" s="1" t="s">
        <v>81</v>
      </c>
      <c r="AK70">
        <v>5</v>
      </c>
      <c r="AL70" s="1" t="s">
        <v>69</v>
      </c>
      <c r="AM70" s="1" t="s">
        <v>64</v>
      </c>
      <c r="AN70" s="1" t="s">
        <v>70</v>
      </c>
      <c r="AO70" s="1" t="s">
        <v>71</v>
      </c>
      <c r="AP70" s="4">
        <f>AVERAGEIF(df_arabica_clean[Country of Origin],df_arabica_clean[[#This Row],[Country of Origin]],df_arabica_clean[Total Cup Points])</f>
        <v>82.827499999999986</v>
      </c>
      <c r="AQ70" s="1">
        <f>+COUNTIF(df_arabica_clean[Country of Origin],df_arabica_clean[[#This Row],[Country of Origin]])</f>
        <v>12</v>
      </c>
    </row>
    <row r="71" spans="1:43" x14ac:dyDescent="0.25">
      <c r="A71">
        <v>88</v>
      </c>
      <c r="B71">
        <v>88</v>
      </c>
      <c r="C71" s="1" t="s">
        <v>554</v>
      </c>
      <c r="D71" s="1" t="s">
        <v>649</v>
      </c>
      <c r="E71" s="1" t="s">
        <v>650</v>
      </c>
      <c r="F71" s="1" t="s">
        <v>651</v>
      </c>
      <c r="G71" s="1" t="s">
        <v>60</v>
      </c>
      <c r="H71" s="1">
        <v>1800</v>
      </c>
      <c r="I71" s="1">
        <f>IF(df_arabica_clean[[#This Row],[Altitude]] &lt;= 2500, df_arabica_clean[[#This Row],[Altitude]], ROUND(df_arabica_clean[[#This Row],[Altitude]] / 3.281, 0))</f>
        <v>1800</v>
      </c>
      <c r="J71" s="1" t="str">
        <f>IF(df_arabica_clean[[#This Row],[Altitude]]&gt;2500,"Convertido","Original")</f>
        <v>Original</v>
      </c>
      <c r="K71" s="1" t="s">
        <v>652</v>
      </c>
      <c r="L71" s="1" t="s">
        <v>653</v>
      </c>
      <c r="M71">
        <v>16</v>
      </c>
      <c r="N71" s="1" t="s">
        <v>106</v>
      </c>
      <c r="O71" s="1" t="s">
        <v>64</v>
      </c>
      <c r="P71" s="1" t="s">
        <v>48</v>
      </c>
      <c r="Q71" s="1" t="s">
        <v>65</v>
      </c>
      <c r="R71" s="1" t="s">
        <v>654</v>
      </c>
      <c r="S71" s="1" t="s">
        <v>231</v>
      </c>
      <c r="T71" s="1" t="s">
        <v>51</v>
      </c>
      <c r="U71" s="1" t="s">
        <v>188</v>
      </c>
      <c r="V71">
        <v>7.75</v>
      </c>
      <c r="W71">
        <v>7.75</v>
      </c>
      <c r="X71">
        <v>7.75</v>
      </c>
      <c r="Y71">
        <v>7.67</v>
      </c>
      <c r="Z71">
        <v>7.75</v>
      </c>
      <c r="AA71">
        <v>7.67</v>
      </c>
      <c r="AB71">
        <v>10</v>
      </c>
      <c r="AC71">
        <v>10</v>
      </c>
      <c r="AD71">
        <v>10</v>
      </c>
      <c r="AE71">
        <v>7.67</v>
      </c>
      <c r="AF71">
        <v>84</v>
      </c>
      <c r="AG71">
        <v>9.4</v>
      </c>
      <c r="AH71">
        <v>0</v>
      </c>
      <c r="AI71">
        <v>0</v>
      </c>
      <c r="AJ71" s="1" t="s">
        <v>53</v>
      </c>
      <c r="AK71">
        <v>0</v>
      </c>
      <c r="AL71" s="1" t="s">
        <v>69</v>
      </c>
      <c r="AM71" s="1" t="s">
        <v>64</v>
      </c>
      <c r="AN71" s="1" t="s">
        <v>70</v>
      </c>
      <c r="AO71" s="1" t="s">
        <v>71</v>
      </c>
      <c r="AP71" s="5">
        <f>AVERAGEIF(df_arabica_clean[Country of Origin],df_arabica_clean[[#This Row],[Country of Origin]],df_arabica_clean[Total Cup Points])</f>
        <v>83.282307692307697</v>
      </c>
      <c r="AQ71" s="1">
        <f>+COUNTIF(df_arabica_clean[Country of Origin],df_arabica_clean[[#This Row],[Country of Origin]])</f>
        <v>13</v>
      </c>
    </row>
    <row r="72" spans="1:43" x14ac:dyDescent="0.25">
      <c r="A72">
        <v>157</v>
      </c>
      <c r="B72">
        <v>157</v>
      </c>
      <c r="C72" s="1" t="s">
        <v>474</v>
      </c>
      <c r="D72" s="1" t="s">
        <v>1006</v>
      </c>
      <c r="E72" s="1" t="s">
        <v>1007</v>
      </c>
      <c r="F72" s="1" t="s">
        <v>1006</v>
      </c>
      <c r="G72" s="1" t="s">
        <v>477</v>
      </c>
      <c r="H72" s="1">
        <v>1200</v>
      </c>
      <c r="I72" s="1">
        <f>IF(df_arabica_clean[[#This Row],[Altitude]] &lt;= 2500, df_arabica_clean[[#This Row],[Altitude]], ROUND(df_arabica_clean[[#This Row],[Altitude]] / 3.281, 0))</f>
        <v>1200</v>
      </c>
      <c r="J72" s="1" t="str">
        <f>IF(df_arabica_clean[[#This Row],[Altitude]]&gt;2500,"Convertido","Original")</f>
        <v>Original</v>
      </c>
      <c r="K72" s="1" t="s">
        <v>478</v>
      </c>
      <c r="L72" s="1" t="s">
        <v>1006</v>
      </c>
      <c r="M72">
        <v>200</v>
      </c>
      <c r="N72" s="1" t="s">
        <v>106</v>
      </c>
      <c r="O72" s="1" t="s">
        <v>479</v>
      </c>
      <c r="P72" s="1" t="s">
        <v>48</v>
      </c>
      <c r="Q72" s="1" t="s">
        <v>1008</v>
      </c>
      <c r="R72" s="1" t="s">
        <v>481</v>
      </c>
      <c r="S72" s="1" t="s">
        <v>184</v>
      </c>
      <c r="T72" s="1" t="s">
        <v>51</v>
      </c>
      <c r="U72" s="1" t="s">
        <v>67</v>
      </c>
      <c r="V72">
        <v>7.75</v>
      </c>
      <c r="W72">
        <v>7.67</v>
      </c>
      <c r="X72">
        <v>7.17</v>
      </c>
      <c r="Y72">
        <v>7.67</v>
      </c>
      <c r="Z72">
        <v>7.42</v>
      </c>
      <c r="AA72">
        <v>7.42</v>
      </c>
      <c r="AB72">
        <v>10</v>
      </c>
      <c r="AC72">
        <v>10</v>
      </c>
      <c r="AD72">
        <v>10</v>
      </c>
      <c r="AE72">
        <v>7.42</v>
      </c>
      <c r="AF72">
        <v>82.5</v>
      </c>
      <c r="AG72">
        <v>10</v>
      </c>
      <c r="AH72">
        <v>0</v>
      </c>
      <c r="AI72">
        <v>0</v>
      </c>
      <c r="AJ72" s="1" t="s">
        <v>53</v>
      </c>
      <c r="AK72">
        <v>0</v>
      </c>
      <c r="AL72" s="1" t="s">
        <v>1009</v>
      </c>
      <c r="AM72" s="1" t="s">
        <v>479</v>
      </c>
      <c r="AN72" s="1" t="s">
        <v>483</v>
      </c>
      <c r="AO72" s="1" t="s">
        <v>484</v>
      </c>
      <c r="AP72" s="5">
        <f>AVERAGEIF(df_arabica_clean[Country of Origin],df_arabica_clean[[#This Row],[Country of Origin]],df_arabica_clean[Total Cup Points])</f>
        <v>83.625</v>
      </c>
      <c r="AQ72" s="1">
        <f>+COUNTIF(df_arabica_clean[Country of Origin],df_arabica_clean[[#This Row],[Country of Origin]])</f>
        <v>2</v>
      </c>
    </row>
    <row r="73" spans="1:43" hidden="1" x14ac:dyDescent="0.25">
      <c r="A73">
        <v>9</v>
      </c>
      <c r="B73">
        <v>9</v>
      </c>
      <c r="C73" s="1" t="s">
        <v>126</v>
      </c>
      <c r="D73" s="1" t="s">
        <v>127</v>
      </c>
      <c r="E73" s="1" t="s">
        <v>128</v>
      </c>
      <c r="F73" s="1" t="s">
        <v>129</v>
      </c>
      <c r="G73" s="1" t="s">
        <v>130</v>
      </c>
      <c r="H73" s="1">
        <v>1400</v>
      </c>
      <c r="I73" s="1">
        <f>IF(df_arabica_clean[[#This Row],[Altitude]] &lt;= 2500, df_arabica_clean[[#This Row],[Altitude]], ROUND(df_arabica_clean[[#This Row],[Altitude]] / 3.281, 0))</f>
        <v>1400</v>
      </c>
      <c r="J73" s="1" t="str">
        <f>IF(df_arabica_clean[[#This Row],[Altitude]]&gt;2500,"Convertido","Original")</f>
        <v>Original</v>
      </c>
      <c r="K73" s="1" t="s">
        <v>131</v>
      </c>
      <c r="L73" s="1" t="s">
        <v>130</v>
      </c>
      <c r="M73">
        <v>320</v>
      </c>
      <c r="N73" s="1" t="s">
        <v>132</v>
      </c>
      <c r="O73" s="1" t="s">
        <v>133</v>
      </c>
      <c r="P73" s="1" t="s">
        <v>134</v>
      </c>
      <c r="Q73" s="1" t="s">
        <v>135</v>
      </c>
      <c r="R73" s="1" t="s">
        <v>136</v>
      </c>
      <c r="S73" s="1" t="s">
        <v>137</v>
      </c>
      <c r="T73" s="1" t="s">
        <v>51</v>
      </c>
      <c r="U73" s="1" t="s">
        <v>67</v>
      </c>
      <c r="V73">
        <v>8.08</v>
      </c>
      <c r="W73">
        <v>8.17</v>
      </c>
      <c r="X73">
        <v>8.08</v>
      </c>
      <c r="Y73">
        <v>8.17</v>
      </c>
      <c r="Z73">
        <v>8</v>
      </c>
      <c r="AA73">
        <v>8</v>
      </c>
      <c r="AB73">
        <v>10</v>
      </c>
      <c r="AC73">
        <v>10</v>
      </c>
      <c r="AD73">
        <v>10</v>
      </c>
      <c r="AE73">
        <v>8</v>
      </c>
      <c r="AF73">
        <v>86.5</v>
      </c>
      <c r="AG73">
        <v>11</v>
      </c>
      <c r="AH73">
        <v>0</v>
      </c>
      <c r="AI73">
        <v>0</v>
      </c>
      <c r="AJ73" s="1" t="s">
        <v>125</v>
      </c>
      <c r="AK73">
        <v>0</v>
      </c>
      <c r="AL73" s="1" t="s">
        <v>138</v>
      </c>
      <c r="AM73" s="1" t="s">
        <v>133</v>
      </c>
      <c r="AN73" s="1" t="s">
        <v>139</v>
      </c>
      <c r="AO73" s="1" t="s">
        <v>140</v>
      </c>
      <c r="AP73" s="1">
        <f>AVERAGEIF(df_arabica_clean[Country of Origin],df_arabica_clean[[#This Row],[Country of Origin]],df_arabica_clean[Total Cup Points])</f>
        <v>84.734999999999999</v>
      </c>
      <c r="AQ73" s="1">
        <f>+COUNTIF(df_arabica_clean[Country of Origin],df_arabica_clean[[#This Row],[Country of Origin]])</f>
        <v>6</v>
      </c>
    </row>
    <row r="74" spans="1:43" hidden="1" x14ac:dyDescent="0.25">
      <c r="A74">
        <v>91</v>
      </c>
      <c r="B74">
        <v>91</v>
      </c>
      <c r="C74" s="1" t="s">
        <v>126</v>
      </c>
      <c r="D74" s="1" t="s">
        <v>127</v>
      </c>
      <c r="E74" s="1" t="s">
        <v>674</v>
      </c>
      <c r="F74" s="1" t="s">
        <v>129</v>
      </c>
      <c r="G74" s="1" t="s">
        <v>660</v>
      </c>
      <c r="H74" s="1">
        <v>1400</v>
      </c>
      <c r="I74" s="1">
        <f>IF(df_arabica_clean[[#This Row],[Altitude]] &lt;= 2500, df_arabica_clean[[#This Row],[Altitude]], ROUND(df_arabica_clean[[#This Row],[Altitude]] / 3.281, 0))</f>
        <v>1400</v>
      </c>
      <c r="J74" s="1" t="str">
        <f>IF(df_arabica_clean[[#This Row],[Altitude]]&gt;2500,"Convertido","Original")</f>
        <v>Original</v>
      </c>
      <c r="K74" s="1" t="s">
        <v>131</v>
      </c>
      <c r="L74" s="1" t="s">
        <v>675</v>
      </c>
      <c r="M74">
        <v>320</v>
      </c>
      <c r="N74" s="1" t="s">
        <v>132</v>
      </c>
      <c r="O74" s="1" t="s">
        <v>133</v>
      </c>
      <c r="P74" s="1" t="s">
        <v>134</v>
      </c>
      <c r="Q74" s="1" t="s">
        <v>676</v>
      </c>
      <c r="R74" s="1" t="s">
        <v>136</v>
      </c>
      <c r="S74" s="1" t="s">
        <v>137</v>
      </c>
      <c r="T74" s="1" t="s">
        <v>51</v>
      </c>
      <c r="U74" s="1" t="s">
        <v>67</v>
      </c>
      <c r="V74">
        <v>7.75</v>
      </c>
      <c r="W74">
        <v>7.58</v>
      </c>
      <c r="X74">
        <v>7.58</v>
      </c>
      <c r="Y74">
        <v>7.92</v>
      </c>
      <c r="Z74">
        <v>7.67</v>
      </c>
      <c r="AA74">
        <v>7.75</v>
      </c>
      <c r="AB74">
        <v>10</v>
      </c>
      <c r="AC74">
        <v>10</v>
      </c>
      <c r="AD74">
        <v>10</v>
      </c>
      <c r="AE74">
        <v>7.75</v>
      </c>
      <c r="AF74">
        <v>84</v>
      </c>
      <c r="AG74">
        <v>11.6</v>
      </c>
      <c r="AH74">
        <v>0</v>
      </c>
      <c r="AI74">
        <v>0</v>
      </c>
      <c r="AJ74" s="1" t="s">
        <v>125</v>
      </c>
      <c r="AK74">
        <v>2</v>
      </c>
      <c r="AL74" s="1" t="s">
        <v>677</v>
      </c>
      <c r="AM74" s="1" t="s">
        <v>133</v>
      </c>
      <c r="AN74" s="1" t="s">
        <v>139</v>
      </c>
      <c r="AO74" s="1" t="s">
        <v>140</v>
      </c>
      <c r="AP74" s="1">
        <f>AVERAGEIF(df_arabica_clean[Country of Origin],df_arabica_clean[[#This Row],[Country of Origin]],df_arabica_clean[Total Cup Points])</f>
        <v>84.734999999999999</v>
      </c>
      <c r="AQ74" s="1">
        <f>+COUNTIF(df_arabica_clean[Country of Origin],df_arabica_clean[[#This Row],[Country of Origin]])</f>
        <v>6</v>
      </c>
    </row>
    <row r="75" spans="1:43" hidden="1" x14ac:dyDescent="0.25">
      <c r="A75">
        <v>128</v>
      </c>
      <c r="B75">
        <v>128</v>
      </c>
      <c r="C75" s="1" t="s">
        <v>126</v>
      </c>
      <c r="D75" s="1" t="s">
        <v>127</v>
      </c>
      <c r="E75" s="1" t="s">
        <v>857</v>
      </c>
      <c r="F75" s="1" t="s">
        <v>129</v>
      </c>
      <c r="G75" s="1" t="s">
        <v>858</v>
      </c>
      <c r="H75" s="1">
        <v>1400</v>
      </c>
      <c r="I75" s="1">
        <f>IF(df_arabica_clean[[#This Row],[Altitude]] &lt;= 2500, df_arabica_clean[[#This Row],[Altitude]], ROUND(df_arabica_clean[[#This Row],[Altitude]] / 3.281, 0))</f>
        <v>1400</v>
      </c>
      <c r="J75" s="1" t="str">
        <f>IF(df_arabica_clean[[#This Row],[Altitude]]&gt;2500,"Convertido","Original")</f>
        <v>Original</v>
      </c>
      <c r="K75" s="1" t="s">
        <v>131</v>
      </c>
      <c r="L75" s="1" t="s">
        <v>858</v>
      </c>
      <c r="M75">
        <v>320</v>
      </c>
      <c r="N75" s="1" t="s">
        <v>132</v>
      </c>
      <c r="O75" s="1" t="s">
        <v>133</v>
      </c>
      <c r="P75" s="1" t="s">
        <v>134</v>
      </c>
      <c r="Q75" s="1" t="s">
        <v>661</v>
      </c>
      <c r="R75" s="1" t="s">
        <v>136</v>
      </c>
      <c r="S75" s="1" t="s">
        <v>137</v>
      </c>
      <c r="T75" s="1" t="s">
        <v>51</v>
      </c>
      <c r="U75" s="1" t="s">
        <v>67</v>
      </c>
      <c r="V75">
        <v>7.92</v>
      </c>
      <c r="W75">
        <v>7.67</v>
      </c>
      <c r="X75">
        <v>7.42</v>
      </c>
      <c r="Y75">
        <v>7.5</v>
      </c>
      <c r="Z75">
        <v>7.67</v>
      </c>
      <c r="AA75">
        <v>7.58</v>
      </c>
      <c r="AB75">
        <v>10</v>
      </c>
      <c r="AC75">
        <v>10</v>
      </c>
      <c r="AD75">
        <v>10</v>
      </c>
      <c r="AE75">
        <v>7.5</v>
      </c>
      <c r="AF75">
        <v>83.25</v>
      </c>
      <c r="AG75">
        <v>10.4</v>
      </c>
      <c r="AH75">
        <v>0</v>
      </c>
      <c r="AI75">
        <v>0</v>
      </c>
      <c r="AJ75" s="1" t="s">
        <v>125</v>
      </c>
      <c r="AK75">
        <v>8</v>
      </c>
      <c r="AL75" s="1" t="s">
        <v>662</v>
      </c>
      <c r="AM75" s="1" t="s">
        <v>133</v>
      </c>
      <c r="AN75" s="1" t="s">
        <v>139</v>
      </c>
      <c r="AO75" s="1" t="s">
        <v>140</v>
      </c>
      <c r="AP75" s="1">
        <f>AVERAGEIF(df_arabica_clean[Country of Origin],df_arabica_clean[[#This Row],[Country of Origin]],df_arabica_clean[Total Cup Points])</f>
        <v>84.734999999999999</v>
      </c>
      <c r="AQ75" s="1">
        <f>+COUNTIF(df_arabica_clean[Country of Origin],df_arabica_clean[[#This Row],[Country of Origin]])</f>
        <v>6</v>
      </c>
    </row>
    <row r="76" spans="1:43" x14ac:dyDescent="0.25">
      <c r="A76">
        <v>57</v>
      </c>
      <c r="B76">
        <v>57</v>
      </c>
      <c r="C76" s="1" t="s">
        <v>474</v>
      </c>
      <c r="D76" s="1" t="s">
        <v>475</v>
      </c>
      <c r="E76" s="1" t="s">
        <v>476</v>
      </c>
      <c r="F76" s="1" t="s">
        <v>475</v>
      </c>
      <c r="G76" s="1" t="s">
        <v>477</v>
      </c>
      <c r="H76" s="1">
        <v>1200</v>
      </c>
      <c r="I76" s="1">
        <f>IF(df_arabica_clean[[#This Row],[Altitude]] &lt;= 2500, df_arabica_clean[[#This Row],[Altitude]], ROUND(df_arabica_clean[[#This Row],[Altitude]] / 3.281, 0))</f>
        <v>1200</v>
      </c>
      <c r="J76" s="1" t="str">
        <f>IF(df_arabica_clean[[#This Row],[Altitude]]&gt;2500,"Convertido","Original")</f>
        <v>Original</v>
      </c>
      <c r="K76" s="1" t="s">
        <v>478</v>
      </c>
      <c r="L76" s="1" t="s">
        <v>475</v>
      </c>
      <c r="M76">
        <v>200</v>
      </c>
      <c r="N76" s="1" t="s">
        <v>106</v>
      </c>
      <c r="O76" s="1" t="s">
        <v>479</v>
      </c>
      <c r="P76" s="1" t="s">
        <v>134</v>
      </c>
      <c r="Q76" s="1" t="s">
        <v>480</v>
      </c>
      <c r="R76" s="1" t="s">
        <v>481</v>
      </c>
      <c r="S76" s="1" t="s">
        <v>409</v>
      </c>
      <c r="T76" s="1" t="s">
        <v>51</v>
      </c>
      <c r="U76" s="1" t="s">
        <v>67</v>
      </c>
      <c r="V76">
        <v>7.83</v>
      </c>
      <c r="W76">
        <v>7.83</v>
      </c>
      <c r="X76">
        <v>7.75</v>
      </c>
      <c r="Y76">
        <v>7.92</v>
      </c>
      <c r="Z76">
        <v>7.83</v>
      </c>
      <c r="AA76">
        <v>7.75</v>
      </c>
      <c r="AB76">
        <v>10</v>
      </c>
      <c r="AC76">
        <v>10</v>
      </c>
      <c r="AD76">
        <v>10</v>
      </c>
      <c r="AE76">
        <v>7.83</v>
      </c>
      <c r="AF76">
        <v>84.75</v>
      </c>
      <c r="AG76">
        <v>10.3</v>
      </c>
      <c r="AH76">
        <v>0</v>
      </c>
      <c r="AI76">
        <v>1</v>
      </c>
      <c r="AJ76" s="1" t="s">
        <v>257</v>
      </c>
      <c r="AK76">
        <v>5</v>
      </c>
      <c r="AL76" s="1" t="s">
        <v>482</v>
      </c>
      <c r="AM76" s="1" t="s">
        <v>479</v>
      </c>
      <c r="AN76" s="1" t="s">
        <v>483</v>
      </c>
      <c r="AO76" s="1" t="s">
        <v>484</v>
      </c>
      <c r="AP76" s="5">
        <f>AVERAGEIF(df_arabica_clean[Country of Origin],df_arabica_clean[[#This Row],[Country of Origin]],df_arabica_clean[Total Cup Points])</f>
        <v>83.625</v>
      </c>
      <c r="AQ76" s="1">
        <f>+COUNTIF(df_arabica_clean[Country of Origin],df_arabica_clean[[#This Row],[Country of Origin]])</f>
        <v>2</v>
      </c>
    </row>
    <row r="77" spans="1:43" x14ac:dyDescent="0.25">
      <c r="A77">
        <v>187</v>
      </c>
      <c r="B77">
        <v>187</v>
      </c>
      <c r="C77" s="1" t="s">
        <v>82</v>
      </c>
      <c r="D77" s="1" t="s">
        <v>1142</v>
      </c>
      <c r="E77" s="1" t="s">
        <v>1143</v>
      </c>
      <c r="F77" s="1" t="s">
        <v>1144</v>
      </c>
      <c r="G77" s="1" t="s">
        <v>1145</v>
      </c>
      <c r="H77" s="1">
        <v>1200</v>
      </c>
      <c r="I77" s="1">
        <f>IF(df_arabica_clean[[#This Row],[Altitude]] &lt;= 2500, df_arabica_clean[[#This Row],[Altitude]], ROUND(df_arabica_clean[[#This Row],[Altitude]] / 3.281, 0))</f>
        <v>1200</v>
      </c>
      <c r="J77" s="1" t="str">
        <f>IF(df_arabica_clean[[#This Row],[Altitude]]&gt;2500,"Convertido","Original")</f>
        <v>Original</v>
      </c>
      <c r="K77" s="1" t="s">
        <v>1146</v>
      </c>
      <c r="L77" s="1" t="s">
        <v>1147</v>
      </c>
      <c r="M77">
        <v>100</v>
      </c>
      <c r="N77" s="1" t="s">
        <v>415</v>
      </c>
      <c r="O77" s="1" t="s">
        <v>479</v>
      </c>
      <c r="P77" s="1" t="s">
        <v>134</v>
      </c>
      <c r="Q77" s="1" t="s">
        <v>1084</v>
      </c>
      <c r="R77" s="1" t="s">
        <v>1148</v>
      </c>
      <c r="S77" s="1" t="s">
        <v>184</v>
      </c>
      <c r="T77" s="1" t="s">
        <v>51</v>
      </c>
      <c r="U77" s="1" t="s">
        <v>67</v>
      </c>
      <c r="V77">
        <v>7.33</v>
      </c>
      <c r="W77">
        <v>7.42</v>
      </c>
      <c r="X77">
        <v>7.25</v>
      </c>
      <c r="Y77">
        <v>7.42</v>
      </c>
      <c r="Z77">
        <v>7.42</v>
      </c>
      <c r="AA77">
        <v>7.33</v>
      </c>
      <c r="AB77">
        <v>10</v>
      </c>
      <c r="AC77">
        <v>10</v>
      </c>
      <c r="AD77">
        <v>10</v>
      </c>
      <c r="AE77">
        <v>7.42</v>
      </c>
      <c r="AF77">
        <v>81.58</v>
      </c>
      <c r="AG77">
        <v>9.6999999999999993</v>
      </c>
      <c r="AH77">
        <v>0</v>
      </c>
      <c r="AI77">
        <v>2</v>
      </c>
      <c r="AJ77" s="1" t="s">
        <v>53</v>
      </c>
      <c r="AK77">
        <v>4</v>
      </c>
      <c r="AL77" s="1" t="s">
        <v>1086</v>
      </c>
      <c r="AM77" s="1" t="s">
        <v>479</v>
      </c>
      <c r="AN77" s="1" t="s">
        <v>483</v>
      </c>
      <c r="AO77" s="1" t="s">
        <v>484</v>
      </c>
      <c r="AP77" s="5">
        <f>AVERAGEIF(df_arabica_clean[Country of Origin],df_arabica_clean[[#This Row],[Country of Origin]],df_arabica_clean[Total Cup Points])</f>
        <v>83.74</v>
      </c>
      <c r="AQ77" s="1">
        <f>+COUNTIF(df_arabica_clean[Country of Origin],df_arabica_clean[[#This Row],[Country of Origin]])</f>
        <v>8</v>
      </c>
    </row>
    <row r="78" spans="1:43" hidden="1" x14ac:dyDescent="0.25">
      <c r="A78">
        <v>118</v>
      </c>
      <c r="B78">
        <v>118</v>
      </c>
      <c r="C78" s="1" t="s">
        <v>369</v>
      </c>
      <c r="D78" s="1" t="s">
        <v>812</v>
      </c>
      <c r="E78" s="1" t="s">
        <v>813</v>
      </c>
      <c r="F78" s="1" t="s">
        <v>814</v>
      </c>
      <c r="G78" s="1" t="s">
        <v>815</v>
      </c>
      <c r="H78" s="1">
        <v>1400</v>
      </c>
      <c r="I78" s="1">
        <f>IF(df_arabica_clean[[#This Row],[Altitude]] &lt;= 2500, df_arabica_clean[[#This Row],[Altitude]], ROUND(df_arabica_clean[[#This Row],[Altitude]] / 3.281, 0))</f>
        <v>1400</v>
      </c>
      <c r="J78" s="1" t="str">
        <f>IF(df_arabica_clean[[#This Row],[Altitude]]&gt;2500,"Convertido","Original")</f>
        <v>Original</v>
      </c>
      <c r="K78" s="1" t="s">
        <v>816</v>
      </c>
      <c r="L78" s="1" t="s">
        <v>817</v>
      </c>
      <c r="M78">
        <v>150</v>
      </c>
      <c r="N78" s="1" t="s">
        <v>132</v>
      </c>
      <c r="O78" s="1" t="s">
        <v>376</v>
      </c>
      <c r="P78" s="1" t="s">
        <v>48</v>
      </c>
      <c r="Q78" s="1" t="s">
        <v>818</v>
      </c>
      <c r="R78" s="1" t="s">
        <v>819</v>
      </c>
      <c r="S78" s="1" t="s">
        <v>379</v>
      </c>
      <c r="T78" s="1" t="s">
        <v>51</v>
      </c>
      <c r="U78" s="1" t="s">
        <v>67</v>
      </c>
      <c r="V78">
        <v>7.75</v>
      </c>
      <c r="W78">
        <v>7.75</v>
      </c>
      <c r="X78">
        <v>7.5</v>
      </c>
      <c r="Y78">
        <v>7.5</v>
      </c>
      <c r="Z78">
        <v>7.58</v>
      </c>
      <c r="AA78">
        <v>7.58</v>
      </c>
      <c r="AB78">
        <v>10</v>
      </c>
      <c r="AC78">
        <v>10</v>
      </c>
      <c r="AD78">
        <v>10</v>
      </c>
      <c r="AE78">
        <v>7.75</v>
      </c>
      <c r="AF78">
        <v>83.42</v>
      </c>
      <c r="AG78">
        <v>10.1</v>
      </c>
      <c r="AH78">
        <v>0</v>
      </c>
      <c r="AI78">
        <v>0</v>
      </c>
      <c r="AJ78" s="1" t="s">
        <v>53</v>
      </c>
      <c r="AK78">
        <v>3</v>
      </c>
      <c r="AL78" s="1" t="s">
        <v>820</v>
      </c>
      <c r="AM78" s="1" t="s">
        <v>376</v>
      </c>
      <c r="AN78" s="1" t="s">
        <v>381</v>
      </c>
      <c r="AO78" s="1" t="s">
        <v>382</v>
      </c>
      <c r="AP78" s="1">
        <f>AVERAGEIF(df_arabica_clean[Country of Origin],df_arabica_clean[[#This Row],[Country of Origin]],df_arabica_clean[Total Cup Points])</f>
        <v>83.916666666666671</v>
      </c>
      <c r="AQ78" s="1">
        <f>+COUNTIF(df_arabica_clean[Country of Origin],df_arabica_clean[[#This Row],[Country of Origin]])</f>
        <v>3</v>
      </c>
    </row>
    <row r="79" spans="1:43" hidden="1" x14ac:dyDescent="0.25">
      <c r="A79">
        <v>55</v>
      </c>
      <c r="B79">
        <v>55</v>
      </c>
      <c r="C79" s="1" t="s">
        <v>57</v>
      </c>
      <c r="D79" s="1" t="s">
        <v>459</v>
      </c>
      <c r="E79" s="1" t="s">
        <v>460</v>
      </c>
      <c r="F79" s="1" t="s">
        <v>459</v>
      </c>
      <c r="G79" s="1" t="s">
        <v>60</v>
      </c>
      <c r="H79" s="1">
        <v>1400</v>
      </c>
      <c r="I79" s="1">
        <f>IF(df_arabica_clean[[#This Row],[Altitude]] &lt;= 2500, df_arabica_clean[[#This Row],[Altitude]], ROUND(df_arabica_clean[[#This Row],[Altitude]] / 3.281, 0))</f>
        <v>1400</v>
      </c>
      <c r="J79" s="1" t="str">
        <f>IF(df_arabica_clean[[#This Row],[Altitude]]&gt;2500,"Convertido","Original")</f>
        <v>Original</v>
      </c>
      <c r="K79" s="1" t="s">
        <v>461</v>
      </c>
      <c r="L79" s="1" t="s">
        <v>462</v>
      </c>
      <c r="M79">
        <v>1</v>
      </c>
      <c r="N79" s="1" t="s">
        <v>106</v>
      </c>
      <c r="O79" s="1" t="s">
        <v>64</v>
      </c>
      <c r="P79" s="1" t="s">
        <v>48</v>
      </c>
      <c r="Q79" s="1" t="s">
        <v>65</v>
      </c>
      <c r="R79" s="1" t="s">
        <v>64</v>
      </c>
      <c r="S79" s="1" t="s">
        <v>124</v>
      </c>
      <c r="T79" s="1" t="s">
        <v>51</v>
      </c>
      <c r="U79" s="1" t="s">
        <v>67</v>
      </c>
      <c r="V79">
        <v>7.67</v>
      </c>
      <c r="W79">
        <v>7.92</v>
      </c>
      <c r="X79">
        <v>7.92</v>
      </c>
      <c r="Y79">
        <v>7.83</v>
      </c>
      <c r="Z79">
        <v>7.75</v>
      </c>
      <c r="AA79">
        <v>7.83</v>
      </c>
      <c r="AB79">
        <v>10</v>
      </c>
      <c r="AC79">
        <v>10</v>
      </c>
      <c r="AD79">
        <v>10</v>
      </c>
      <c r="AE79">
        <v>7.83</v>
      </c>
      <c r="AF79">
        <v>84.75</v>
      </c>
      <c r="AG79">
        <v>10.4</v>
      </c>
      <c r="AH79">
        <v>0</v>
      </c>
      <c r="AI79">
        <v>0</v>
      </c>
      <c r="AJ79" s="1" t="s">
        <v>53</v>
      </c>
      <c r="AK79">
        <v>0</v>
      </c>
      <c r="AL79" s="1" t="s">
        <v>69</v>
      </c>
      <c r="AM79" s="1" t="s">
        <v>64</v>
      </c>
      <c r="AN79" s="1" t="s">
        <v>70</v>
      </c>
      <c r="AO79" s="1" t="s">
        <v>71</v>
      </c>
      <c r="AP79" s="1">
        <f>AVERAGEIF(df_arabica_clean[Country of Origin],df_arabica_clean[[#This Row],[Country of Origin]],df_arabica_clean[Total Cup Points])</f>
        <v>84.350327868852446</v>
      </c>
      <c r="AQ79" s="1">
        <f>+COUNTIF(df_arabica_clean[Country of Origin],df_arabica_clean[[#This Row],[Country of Origin]])</f>
        <v>61</v>
      </c>
    </row>
    <row r="80" spans="1:43" hidden="1" x14ac:dyDescent="0.25">
      <c r="A80">
        <v>107</v>
      </c>
      <c r="B80">
        <v>107</v>
      </c>
      <c r="C80" s="1" t="s">
        <v>756</v>
      </c>
      <c r="D80" s="1" t="s">
        <v>757</v>
      </c>
      <c r="E80" s="1" t="s">
        <v>758</v>
      </c>
      <c r="F80" s="1" t="s">
        <v>757</v>
      </c>
      <c r="G80" s="1" t="s">
        <v>60</v>
      </c>
      <c r="H80" s="1">
        <v>1400</v>
      </c>
      <c r="I80" s="1">
        <f>IF(df_arabica_clean[[#This Row],[Altitude]] &lt;= 2500, df_arabica_clean[[#This Row],[Altitude]], ROUND(df_arabica_clean[[#This Row],[Altitude]] / 3.281, 0))</f>
        <v>1400</v>
      </c>
      <c r="J80" s="1" t="str">
        <f>IF(df_arabica_clean[[#This Row],[Altitude]]&gt;2500,"Convertido","Original")</f>
        <v>Original</v>
      </c>
      <c r="K80" s="1" t="s">
        <v>759</v>
      </c>
      <c r="L80" s="1" t="s">
        <v>760</v>
      </c>
      <c r="M80">
        <v>100</v>
      </c>
      <c r="N80" s="1" t="s">
        <v>106</v>
      </c>
      <c r="O80" s="1" t="s">
        <v>64</v>
      </c>
      <c r="P80" s="1" t="s">
        <v>89</v>
      </c>
      <c r="Q80" s="1" t="s">
        <v>65</v>
      </c>
      <c r="R80" s="1" t="s">
        <v>183</v>
      </c>
      <c r="S80" s="1" t="s">
        <v>761</v>
      </c>
      <c r="T80" s="1" t="s">
        <v>51</v>
      </c>
      <c r="U80" s="1" t="s">
        <v>118</v>
      </c>
      <c r="V80">
        <v>7.83</v>
      </c>
      <c r="W80">
        <v>7.83</v>
      </c>
      <c r="X80">
        <v>7.67</v>
      </c>
      <c r="Y80">
        <v>7.58</v>
      </c>
      <c r="Z80">
        <v>7.58</v>
      </c>
      <c r="AA80">
        <v>7.58</v>
      </c>
      <c r="AB80">
        <v>10</v>
      </c>
      <c r="AC80">
        <v>10</v>
      </c>
      <c r="AD80">
        <v>10</v>
      </c>
      <c r="AE80">
        <v>7.58</v>
      </c>
      <c r="AF80">
        <v>83.67</v>
      </c>
      <c r="AG80">
        <v>10.199999999999999</v>
      </c>
      <c r="AH80">
        <v>0</v>
      </c>
      <c r="AI80">
        <v>1</v>
      </c>
      <c r="AJ80" s="1" t="s">
        <v>368</v>
      </c>
      <c r="AK80">
        <v>1</v>
      </c>
      <c r="AL80" s="1" t="s">
        <v>69</v>
      </c>
      <c r="AM80" s="1" t="s">
        <v>64</v>
      </c>
      <c r="AN80" s="1" t="s">
        <v>70</v>
      </c>
      <c r="AO80" s="1" t="s">
        <v>71</v>
      </c>
      <c r="AP80" s="4">
        <f>AVERAGEIF(df_arabica_clean[Country of Origin],df_arabica_clean[[#This Row],[Country of Origin]],df_arabica_clean[Total Cup Points])</f>
        <v>83.67</v>
      </c>
      <c r="AQ80" s="1">
        <f>+COUNTIF(df_arabica_clean[Country of Origin],df_arabica_clean[[#This Row],[Country of Origin]])</f>
        <v>1</v>
      </c>
    </row>
    <row r="81" spans="1:43" x14ac:dyDescent="0.25">
      <c r="A81">
        <v>148</v>
      </c>
      <c r="B81">
        <v>148</v>
      </c>
      <c r="C81" s="1" t="s">
        <v>82</v>
      </c>
      <c r="D81" s="1" t="s">
        <v>961</v>
      </c>
      <c r="E81" s="1" t="s">
        <v>962</v>
      </c>
      <c r="F81" s="1" t="s">
        <v>963</v>
      </c>
      <c r="G81" s="1" t="s">
        <v>60</v>
      </c>
      <c r="H81" s="1">
        <v>1450</v>
      </c>
      <c r="I81" s="1">
        <f>IF(df_arabica_clean[[#This Row],[Altitude]] &lt;= 2500, df_arabica_clean[[#This Row],[Altitude]], ROUND(df_arabica_clean[[#This Row],[Altitude]] / 3.281, 0))</f>
        <v>1450</v>
      </c>
      <c r="J81" s="1" t="str">
        <f>IF(df_arabica_clean[[#This Row],[Altitude]]&gt;2500,"Convertido","Original")</f>
        <v>Original</v>
      </c>
      <c r="K81" s="1" t="s">
        <v>964</v>
      </c>
      <c r="L81" s="1" t="s">
        <v>600</v>
      </c>
      <c r="M81">
        <v>10</v>
      </c>
      <c r="N81" s="1" t="s">
        <v>106</v>
      </c>
      <c r="O81" s="1" t="s">
        <v>64</v>
      </c>
      <c r="P81" s="1" t="s">
        <v>158</v>
      </c>
      <c r="Q81" s="1" t="s">
        <v>65</v>
      </c>
      <c r="R81" s="1" t="s">
        <v>64</v>
      </c>
      <c r="S81" s="1" t="s">
        <v>341</v>
      </c>
      <c r="T81" s="1" t="s">
        <v>51</v>
      </c>
      <c r="U81" s="1" t="s">
        <v>188</v>
      </c>
      <c r="V81">
        <v>7.33</v>
      </c>
      <c r="W81">
        <v>7.5</v>
      </c>
      <c r="X81">
        <v>7.25</v>
      </c>
      <c r="Y81">
        <v>7.92</v>
      </c>
      <c r="Z81">
        <v>7.75</v>
      </c>
      <c r="AA81">
        <v>7.58</v>
      </c>
      <c r="AB81">
        <v>10</v>
      </c>
      <c r="AC81">
        <v>10</v>
      </c>
      <c r="AD81">
        <v>10</v>
      </c>
      <c r="AE81">
        <v>7.42</v>
      </c>
      <c r="AF81">
        <v>82.75</v>
      </c>
      <c r="AG81">
        <v>11.8</v>
      </c>
      <c r="AH81">
        <v>0</v>
      </c>
      <c r="AI81">
        <v>0</v>
      </c>
      <c r="AJ81" s="1" t="s">
        <v>368</v>
      </c>
      <c r="AK81">
        <v>1</v>
      </c>
      <c r="AL81" s="1" t="s">
        <v>69</v>
      </c>
      <c r="AM81" s="1" t="s">
        <v>64</v>
      </c>
      <c r="AN81" s="1" t="s">
        <v>70</v>
      </c>
      <c r="AO81" s="1" t="s">
        <v>71</v>
      </c>
      <c r="AP81" s="5">
        <f>AVERAGEIF(df_arabica_clean[Country of Origin],df_arabica_clean[[#This Row],[Country of Origin]],df_arabica_clean[Total Cup Points])</f>
        <v>83.74</v>
      </c>
      <c r="AQ81" s="1">
        <f>+COUNTIF(df_arabica_clean[Country of Origin],df_arabica_clean[[#This Row],[Country of Origin]])</f>
        <v>8</v>
      </c>
    </row>
    <row r="82" spans="1:43" x14ac:dyDescent="0.25">
      <c r="A82">
        <v>176</v>
      </c>
      <c r="B82">
        <v>176</v>
      </c>
      <c r="C82" s="1" t="s">
        <v>82</v>
      </c>
      <c r="D82" s="1" t="s">
        <v>1078</v>
      </c>
      <c r="E82" s="1" t="s">
        <v>1079</v>
      </c>
      <c r="F82" s="1" t="s">
        <v>1080</v>
      </c>
      <c r="G82" s="1" t="s">
        <v>1081</v>
      </c>
      <c r="H82" s="1">
        <v>1500</v>
      </c>
      <c r="I82" s="1">
        <f>IF(df_arabica_clean[[#This Row],[Altitude]] &lt;= 2500, df_arabica_clean[[#This Row],[Altitude]], ROUND(df_arabica_clean[[#This Row],[Altitude]] / 3.281, 0))</f>
        <v>1500</v>
      </c>
      <c r="J82" s="1" t="str">
        <f>IF(df_arabica_clean[[#This Row],[Altitude]]&gt;2500,"Convertido","Original")</f>
        <v>Original</v>
      </c>
      <c r="K82" s="1" t="s">
        <v>1082</v>
      </c>
      <c r="L82" s="1" t="s">
        <v>1078</v>
      </c>
      <c r="M82">
        <v>500</v>
      </c>
      <c r="N82" s="1" t="s">
        <v>106</v>
      </c>
      <c r="O82" s="1" t="s">
        <v>479</v>
      </c>
      <c r="P82" s="1" t="s">
        <v>1083</v>
      </c>
      <c r="Q82" s="1" t="s">
        <v>1084</v>
      </c>
      <c r="R82" s="1" t="s">
        <v>1085</v>
      </c>
      <c r="S82" s="1" t="s">
        <v>184</v>
      </c>
      <c r="T82" s="1" t="s">
        <v>51</v>
      </c>
      <c r="U82" s="1" t="s">
        <v>67</v>
      </c>
      <c r="V82">
        <v>7.42</v>
      </c>
      <c r="W82">
        <v>7.42</v>
      </c>
      <c r="X82">
        <v>7.42</v>
      </c>
      <c r="Y82">
        <v>7.33</v>
      </c>
      <c r="Z82">
        <v>7.58</v>
      </c>
      <c r="AA82">
        <v>7.33</v>
      </c>
      <c r="AB82">
        <v>10</v>
      </c>
      <c r="AC82">
        <v>10</v>
      </c>
      <c r="AD82">
        <v>10</v>
      </c>
      <c r="AE82">
        <v>7.5</v>
      </c>
      <c r="AF82">
        <v>82</v>
      </c>
      <c r="AG82">
        <v>10.5</v>
      </c>
      <c r="AH82">
        <v>1</v>
      </c>
      <c r="AI82">
        <v>2</v>
      </c>
      <c r="AJ82" s="1" t="s">
        <v>53</v>
      </c>
      <c r="AK82">
        <v>8</v>
      </c>
      <c r="AL82" s="1" t="s">
        <v>1086</v>
      </c>
      <c r="AM82" s="1" t="s">
        <v>479</v>
      </c>
      <c r="AN82" s="1" t="s">
        <v>483</v>
      </c>
      <c r="AO82" s="1" t="s">
        <v>484</v>
      </c>
      <c r="AP82" s="5">
        <f>AVERAGEIF(df_arabica_clean[Country of Origin],df_arabica_clean[[#This Row],[Country of Origin]],df_arabica_clean[Total Cup Points])</f>
        <v>83.74</v>
      </c>
      <c r="AQ82" s="1">
        <f>+COUNTIF(df_arabica_clean[Country of Origin],df_arabica_clean[[#This Row],[Country of Origin]])</f>
        <v>8</v>
      </c>
    </row>
    <row r="83" spans="1:43" x14ac:dyDescent="0.25">
      <c r="A83">
        <v>125</v>
      </c>
      <c r="B83">
        <v>125</v>
      </c>
      <c r="C83" s="1" t="s">
        <v>82</v>
      </c>
      <c r="D83" s="1" t="s">
        <v>502</v>
      </c>
      <c r="E83" s="1" t="s">
        <v>851</v>
      </c>
      <c r="F83" s="1" t="s">
        <v>504</v>
      </c>
      <c r="G83" s="1" t="s">
        <v>505</v>
      </c>
      <c r="H83" s="1">
        <v>1850</v>
      </c>
      <c r="I83" s="1">
        <f>IF(df_arabica_clean[[#This Row],[Altitude]] &lt;= 2500, df_arabica_clean[[#This Row],[Altitude]], ROUND(df_arabica_clean[[#This Row],[Altitude]] / 3.281, 0))</f>
        <v>1850</v>
      </c>
      <c r="J83" s="1" t="str">
        <f>IF(df_arabica_clean[[#This Row],[Altitude]]&gt;2500,"Convertido","Original")</f>
        <v>Original</v>
      </c>
      <c r="K83" s="1" t="s">
        <v>506</v>
      </c>
      <c r="L83" s="1" t="s">
        <v>507</v>
      </c>
      <c r="M83">
        <v>320</v>
      </c>
      <c r="N83" s="1" t="s">
        <v>415</v>
      </c>
      <c r="O83" s="1" t="s">
        <v>479</v>
      </c>
      <c r="P83" s="1" t="s">
        <v>134</v>
      </c>
      <c r="Q83" s="1" t="s">
        <v>508</v>
      </c>
      <c r="R83" s="1" t="s">
        <v>509</v>
      </c>
      <c r="S83" s="1" t="s">
        <v>184</v>
      </c>
      <c r="T83" s="1" t="s">
        <v>51</v>
      </c>
      <c r="U83" s="1" t="s">
        <v>67</v>
      </c>
      <c r="V83">
        <v>7.58</v>
      </c>
      <c r="W83">
        <v>7.75</v>
      </c>
      <c r="X83">
        <v>7.42</v>
      </c>
      <c r="Y83">
        <v>7.67</v>
      </c>
      <c r="Z83">
        <v>7.5</v>
      </c>
      <c r="AA83">
        <v>7.75</v>
      </c>
      <c r="AB83">
        <v>10</v>
      </c>
      <c r="AC83">
        <v>10</v>
      </c>
      <c r="AD83">
        <v>10</v>
      </c>
      <c r="AE83">
        <v>7.67</v>
      </c>
      <c r="AF83">
        <v>83.33</v>
      </c>
      <c r="AG83">
        <v>0</v>
      </c>
      <c r="AH83">
        <v>0</v>
      </c>
      <c r="AI83">
        <v>0</v>
      </c>
      <c r="AJ83" s="1" t="s">
        <v>53</v>
      </c>
      <c r="AK83">
        <v>3</v>
      </c>
      <c r="AL83" s="1" t="s">
        <v>510</v>
      </c>
      <c r="AM83" s="1" t="s">
        <v>479</v>
      </c>
      <c r="AN83" s="1" t="s">
        <v>483</v>
      </c>
      <c r="AO83" s="1" t="s">
        <v>484</v>
      </c>
      <c r="AP83" s="5">
        <f>AVERAGEIF(df_arabica_clean[Country of Origin],df_arabica_clean[[#This Row],[Country of Origin]],df_arabica_clean[Total Cup Points])</f>
        <v>83.74</v>
      </c>
      <c r="AQ83" s="1">
        <f>+COUNTIF(df_arabica_clean[Country of Origin],df_arabica_clean[[#This Row],[Country of Origin]])</f>
        <v>8</v>
      </c>
    </row>
    <row r="84" spans="1:43" x14ac:dyDescent="0.25">
      <c r="A84">
        <v>93</v>
      </c>
      <c r="B84">
        <v>93</v>
      </c>
      <c r="C84" s="1" t="s">
        <v>82</v>
      </c>
      <c r="D84" s="1" t="s">
        <v>502</v>
      </c>
      <c r="E84" s="1" t="s">
        <v>685</v>
      </c>
      <c r="F84" s="1" t="s">
        <v>504</v>
      </c>
      <c r="G84" s="1" t="s">
        <v>505</v>
      </c>
      <c r="H84" s="1">
        <v>1850</v>
      </c>
      <c r="I84" s="1">
        <f>IF(df_arabica_clean[[#This Row],[Altitude]] &lt;= 2500, df_arabica_clean[[#This Row],[Altitude]], ROUND(df_arabica_clean[[#This Row],[Altitude]] / 3.281, 0))</f>
        <v>1850</v>
      </c>
      <c r="J84" s="1" t="str">
        <f>IF(df_arabica_clean[[#This Row],[Altitude]]&gt;2500,"Convertido","Original")</f>
        <v>Original</v>
      </c>
      <c r="K84" s="1" t="s">
        <v>506</v>
      </c>
      <c r="L84" s="1" t="s">
        <v>507</v>
      </c>
      <c r="M84">
        <v>250</v>
      </c>
      <c r="N84" s="1" t="s">
        <v>46</v>
      </c>
      <c r="O84" s="1" t="s">
        <v>479</v>
      </c>
      <c r="P84" s="1" t="s">
        <v>134</v>
      </c>
      <c r="Q84" s="1" t="s">
        <v>508</v>
      </c>
      <c r="R84" s="1" t="s">
        <v>509</v>
      </c>
      <c r="S84" s="1" t="s">
        <v>184</v>
      </c>
      <c r="T84" s="1" t="s">
        <v>51</v>
      </c>
      <c r="U84" s="1" t="s">
        <v>67</v>
      </c>
      <c r="V84">
        <v>7.67</v>
      </c>
      <c r="W84">
        <v>7.92</v>
      </c>
      <c r="X84">
        <v>7.58</v>
      </c>
      <c r="Y84">
        <v>7.75</v>
      </c>
      <c r="Z84">
        <v>7.67</v>
      </c>
      <c r="AA84">
        <v>7.58</v>
      </c>
      <c r="AB84">
        <v>10</v>
      </c>
      <c r="AC84">
        <v>10</v>
      </c>
      <c r="AD84">
        <v>10</v>
      </c>
      <c r="AE84">
        <v>7.75</v>
      </c>
      <c r="AF84">
        <v>83.92</v>
      </c>
      <c r="AG84">
        <v>9.5</v>
      </c>
      <c r="AH84">
        <v>0</v>
      </c>
      <c r="AI84">
        <v>0</v>
      </c>
      <c r="AJ84" s="1" t="s">
        <v>53</v>
      </c>
      <c r="AK84">
        <v>2</v>
      </c>
      <c r="AL84" s="1" t="s">
        <v>510</v>
      </c>
      <c r="AM84" s="1" t="s">
        <v>479</v>
      </c>
      <c r="AN84" s="1" t="s">
        <v>483</v>
      </c>
      <c r="AO84" s="1" t="s">
        <v>484</v>
      </c>
      <c r="AP84" s="5">
        <f>AVERAGEIF(df_arabica_clean[Country of Origin],df_arabica_clean[[#This Row],[Country of Origin]],df_arabica_clean[Total Cup Points])</f>
        <v>83.74</v>
      </c>
      <c r="AQ84" s="1">
        <f>+COUNTIF(df_arabica_clean[Country of Origin],df_arabica_clean[[#This Row],[Country of Origin]])</f>
        <v>8</v>
      </c>
    </row>
    <row r="85" spans="1:43" x14ac:dyDescent="0.25">
      <c r="A85">
        <v>61</v>
      </c>
      <c r="B85">
        <v>61</v>
      </c>
      <c r="C85" s="1" t="s">
        <v>82</v>
      </c>
      <c r="D85" s="1" t="s">
        <v>502</v>
      </c>
      <c r="E85" s="1" t="s">
        <v>503</v>
      </c>
      <c r="F85" s="1" t="s">
        <v>504</v>
      </c>
      <c r="G85" s="1" t="s">
        <v>505</v>
      </c>
      <c r="H85" s="1">
        <v>1850</v>
      </c>
      <c r="I85" s="1">
        <f>IF(df_arabica_clean[[#This Row],[Altitude]] &lt;= 2500, df_arabica_clean[[#This Row],[Altitude]], ROUND(df_arabica_clean[[#This Row],[Altitude]] / 3.281, 0))</f>
        <v>1850</v>
      </c>
      <c r="J85" s="1" t="str">
        <f>IF(df_arabica_clean[[#This Row],[Altitude]]&gt;2500,"Convertido","Original")</f>
        <v>Original</v>
      </c>
      <c r="K85" s="1" t="s">
        <v>506</v>
      </c>
      <c r="L85" s="1" t="s">
        <v>507</v>
      </c>
      <c r="M85">
        <v>260</v>
      </c>
      <c r="N85" s="1" t="s">
        <v>415</v>
      </c>
      <c r="O85" s="1" t="s">
        <v>479</v>
      </c>
      <c r="P85" s="1" t="s">
        <v>134</v>
      </c>
      <c r="Q85" s="1" t="s">
        <v>508</v>
      </c>
      <c r="R85" s="1" t="s">
        <v>509</v>
      </c>
      <c r="S85" s="1" t="s">
        <v>184</v>
      </c>
      <c r="T85" s="1" t="s">
        <v>51</v>
      </c>
      <c r="U85" s="1" t="s">
        <v>67</v>
      </c>
      <c r="V85">
        <v>7.58</v>
      </c>
      <c r="W85">
        <v>7.83</v>
      </c>
      <c r="X85">
        <v>7.5</v>
      </c>
      <c r="Y85">
        <v>7.67</v>
      </c>
      <c r="Z85">
        <v>7.83</v>
      </c>
      <c r="AA85">
        <v>7.67</v>
      </c>
      <c r="AB85">
        <v>10</v>
      </c>
      <c r="AC85">
        <v>10</v>
      </c>
      <c r="AD85">
        <v>10</v>
      </c>
      <c r="AE85">
        <v>8.58</v>
      </c>
      <c r="AF85">
        <v>84.67</v>
      </c>
      <c r="AG85">
        <v>10</v>
      </c>
      <c r="AH85">
        <v>0</v>
      </c>
      <c r="AI85">
        <v>1</v>
      </c>
      <c r="AJ85" s="1" t="s">
        <v>53</v>
      </c>
      <c r="AK85">
        <v>2</v>
      </c>
      <c r="AL85" s="1" t="s">
        <v>510</v>
      </c>
      <c r="AM85" s="1" t="s">
        <v>479</v>
      </c>
      <c r="AN85" s="1" t="s">
        <v>483</v>
      </c>
      <c r="AO85" s="1" t="s">
        <v>484</v>
      </c>
      <c r="AP85" s="5">
        <f>AVERAGEIF(df_arabica_clean[Country of Origin],df_arabica_clean[[#This Row],[Country of Origin]],df_arabica_clean[Total Cup Points])</f>
        <v>83.74</v>
      </c>
      <c r="AQ85" s="1">
        <f>+COUNTIF(df_arabica_clean[Country of Origin],df_arabica_clean[[#This Row],[Country of Origin]])</f>
        <v>8</v>
      </c>
    </row>
    <row r="86" spans="1:43" x14ac:dyDescent="0.25">
      <c r="A86">
        <v>68</v>
      </c>
      <c r="B86">
        <v>68</v>
      </c>
      <c r="C86" s="1" t="s">
        <v>82</v>
      </c>
      <c r="D86" s="1" t="s">
        <v>83</v>
      </c>
      <c r="E86" s="1" t="s">
        <v>546</v>
      </c>
      <c r="F86" s="1" t="s">
        <v>85</v>
      </c>
      <c r="G86" s="1" t="s">
        <v>43</v>
      </c>
      <c r="H86" s="1">
        <v>1900</v>
      </c>
      <c r="I86" s="1">
        <f>IF(df_arabica_clean[[#This Row],[Altitude]] &lt;= 2500, df_arabica_clean[[#This Row],[Altitude]], ROUND(df_arabica_clean[[#This Row],[Altitude]] / 3.281, 0))</f>
        <v>1900</v>
      </c>
      <c r="J86" s="1" t="str">
        <f>IF(df_arabica_clean[[#This Row],[Altitude]]&gt;2500,"Convertido","Original")</f>
        <v>Original</v>
      </c>
      <c r="K86" s="1" t="s">
        <v>86</v>
      </c>
      <c r="L86" s="1" t="s">
        <v>87</v>
      </c>
      <c r="M86">
        <v>1</v>
      </c>
      <c r="N86" s="1" t="s">
        <v>88</v>
      </c>
      <c r="O86" s="1" t="s">
        <v>47</v>
      </c>
      <c r="P86" s="1" t="s">
        <v>89</v>
      </c>
      <c r="Q86" s="1" t="s">
        <v>547</v>
      </c>
      <c r="R86" s="1" t="s">
        <v>43</v>
      </c>
      <c r="S86" s="1" t="s">
        <v>66</v>
      </c>
      <c r="T86" s="1" t="s">
        <v>51</v>
      </c>
      <c r="U86" s="1" t="s">
        <v>67</v>
      </c>
      <c r="V86">
        <v>7.75</v>
      </c>
      <c r="W86">
        <v>7.83</v>
      </c>
      <c r="X86">
        <v>7.67</v>
      </c>
      <c r="Y86">
        <v>7.83</v>
      </c>
      <c r="Z86">
        <v>7.75</v>
      </c>
      <c r="AA86">
        <v>7.75</v>
      </c>
      <c r="AB86">
        <v>10</v>
      </c>
      <c r="AC86">
        <v>10</v>
      </c>
      <c r="AD86">
        <v>10</v>
      </c>
      <c r="AE86">
        <v>7.92</v>
      </c>
      <c r="AF86">
        <v>84.5</v>
      </c>
      <c r="AG86">
        <v>11.7</v>
      </c>
      <c r="AH86">
        <v>0</v>
      </c>
      <c r="AI86">
        <v>1</v>
      </c>
      <c r="AJ86" s="1" t="s">
        <v>53</v>
      </c>
      <c r="AK86">
        <v>0</v>
      </c>
      <c r="AL86" s="1" t="s">
        <v>548</v>
      </c>
      <c r="AM86" s="1" t="s">
        <v>47</v>
      </c>
      <c r="AN86" s="1" t="s">
        <v>55</v>
      </c>
      <c r="AO86" s="1" t="s">
        <v>56</v>
      </c>
      <c r="AP86" s="5">
        <f>AVERAGEIF(df_arabica_clean[Country of Origin],df_arabica_clean[[#This Row],[Country of Origin]],df_arabica_clean[Total Cup Points])</f>
        <v>83.74</v>
      </c>
      <c r="AQ86" s="1">
        <f>+COUNTIF(df_arabica_clean[Country of Origin],df_arabica_clean[[#This Row],[Country of Origin]])</f>
        <v>8</v>
      </c>
    </row>
    <row r="87" spans="1:43" x14ac:dyDescent="0.25">
      <c r="A87">
        <v>3</v>
      </c>
      <c r="B87">
        <v>3</v>
      </c>
      <c r="C87" s="1" t="s">
        <v>82</v>
      </c>
      <c r="D87" s="1" t="s">
        <v>83</v>
      </c>
      <c r="E87" s="1" t="s">
        <v>84</v>
      </c>
      <c r="F87" s="1" t="s">
        <v>85</v>
      </c>
      <c r="G87" s="1" t="s">
        <v>43</v>
      </c>
      <c r="H87" s="1">
        <v>1900</v>
      </c>
      <c r="I87" s="1">
        <f>IF(df_arabica_clean[[#This Row],[Altitude]] &lt;= 2500, df_arabica_clean[[#This Row],[Altitude]], ROUND(df_arabica_clean[[#This Row],[Altitude]] / 3.281, 0))</f>
        <v>1900</v>
      </c>
      <c r="J87" s="1" t="str">
        <f>IF(df_arabica_clean[[#This Row],[Altitude]]&gt;2500,"Convertido","Original")</f>
        <v>Original</v>
      </c>
      <c r="K87" s="1" t="s">
        <v>86</v>
      </c>
      <c r="L87" s="1" t="s">
        <v>87</v>
      </c>
      <c r="M87">
        <v>1</v>
      </c>
      <c r="N87" s="1" t="s">
        <v>88</v>
      </c>
      <c r="O87" s="1" t="s">
        <v>47</v>
      </c>
      <c r="P87" s="1" t="s">
        <v>89</v>
      </c>
      <c r="Q87" s="1" t="s">
        <v>49</v>
      </c>
      <c r="R87" s="1" t="s">
        <v>43</v>
      </c>
      <c r="S87" s="1" t="s">
        <v>66</v>
      </c>
      <c r="T87" s="1" t="s">
        <v>51</v>
      </c>
      <c r="U87" s="1" t="s">
        <v>67</v>
      </c>
      <c r="V87">
        <v>8.08</v>
      </c>
      <c r="W87">
        <v>8.17</v>
      </c>
      <c r="X87">
        <v>8.17</v>
      </c>
      <c r="Y87">
        <v>8.25</v>
      </c>
      <c r="Z87">
        <v>8.17</v>
      </c>
      <c r="AA87">
        <v>8.08</v>
      </c>
      <c r="AB87">
        <v>10</v>
      </c>
      <c r="AC87">
        <v>10</v>
      </c>
      <c r="AD87">
        <v>10</v>
      </c>
      <c r="AE87">
        <v>8.25</v>
      </c>
      <c r="AF87">
        <v>87.17</v>
      </c>
      <c r="AG87">
        <v>11.8</v>
      </c>
      <c r="AH87">
        <v>0</v>
      </c>
      <c r="AI87">
        <v>0</v>
      </c>
      <c r="AJ87" s="1" t="s">
        <v>53</v>
      </c>
      <c r="AK87">
        <v>0</v>
      </c>
      <c r="AL87" s="1" t="s">
        <v>54</v>
      </c>
      <c r="AM87" s="1" t="s">
        <v>47</v>
      </c>
      <c r="AN87" s="1" t="s">
        <v>55</v>
      </c>
      <c r="AO87" s="1" t="s">
        <v>56</v>
      </c>
      <c r="AP87" s="5">
        <f>AVERAGEIF(df_arabica_clean[Country of Origin],df_arabica_clean[[#This Row],[Country of Origin]],df_arabica_clean[Total Cup Points])</f>
        <v>83.74</v>
      </c>
      <c r="AQ87" s="1">
        <f>+COUNTIF(df_arabica_clean[Country of Origin],df_arabica_clean[[#This Row],[Country of Origin]])</f>
        <v>8</v>
      </c>
    </row>
    <row r="88" spans="1:43" x14ac:dyDescent="0.25">
      <c r="A88">
        <v>105</v>
      </c>
      <c r="B88">
        <v>105</v>
      </c>
      <c r="C88" s="1" t="s">
        <v>39</v>
      </c>
      <c r="D88" s="1" t="s">
        <v>42</v>
      </c>
      <c r="E88" s="1" t="s">
        <v>42</v>
      </c>
      <c r="F88" s="1" t="s">
        <v>42</v>
      </c>
      <c r="G88" s="1" t="s">
        <v>749</v>
      </c>
      <c r="H88" s="1"/>
      <c r="I88" s="1">
        <f>IF(df_arabica_clean[[#This Row],[Altitude]] &lt;= 2500, df_arabica_clean[[#This Row],[Altitude]], ROUND(df_arabica_clean[[#This Row],[Altitude]] / 3.281, 0))</f>
        <v>0</v>
      </c>
      <c r="J88" s="1" t="str">
        <f>IF(df_arabica_clean[[#This Row],[Altitude]]&gt;2500,"Convertido","Original")</f>
        <v>Original</v>
      </c>
      <c r="K88" s="1" t="s">
        <v>42</v>
      </c>
      <c r="L88" s="1" t="s">
        <v>42</v>
      </c>
      <c r="M88">
        <v>1</v>
      </c>
      <c r="N88" s="1" t="s">
        <v>214</v>
      </c>
      <c r="O88" s="1" t="s">
        <v>750</v>
      </c>
      <c r="P88" s="1" t="s">
        <v>89</v>
      </c>
      <c r="Q88" s="1" t="s">
        <v>751</v>
      </c>
      <c r="R88" s="1" t="s">
        <v>749</v>
      </c>
      <c r="S88" s="1" t="s">
        <v>42</v>
      </c>
      <c r="T88" s="1" t="s">
        <v>51</v>
      </c>
      <c r="U88" s="1" t="s">
        <v>42</v>
      </c>
      <c r="V88">
        <v>7.83</v>
      </c>
      <c r="W88">
        <v>7.75</v>
      </c>
      <c r="X88">
        <v>7.5</v>
      </c>
      <c r="Y88">
        <v>7.58</v>
      </c>
      <c r="Z88">
        <v>7.67</v>
      </c>
      <c r="AA88">
        <v>7.67</v>
      </c>
      <c r="AB88">
        <v>10</v>
      </c>
      <c r="AC88">
        <v>10</v>
      </c>
      <c r="AD88">
        <v>10</v>
      </c>
      <c r="AE88">
        <v>7.67</v>
      </c>
      <c r="AF88">
        <v>83.67</v>
      </c>
      <c r="AG88">
        <v>12.4</v>
      </c>
      <c r="AH88">
        <v>1</v>
      </c>
      <c r="AI88">
        <v>0</v>
      </c>
      <c r="AJ88" s="1" t="s">
        <v>125</v>
      </c>
      <c r="AK88">
        <v>9</v>
      </c>
      <c r="AL88" s="1" t="s">
        <v>752</v>
      </c>
      <c r="AM88" s="1" t="s">
        <v>750</v>
      </c>
      <c r="AN88" s="1" t="s">
        <v>753</v>
      </c>
      <c r="AO88" s="1" t="s">
        <v>754</v>
      </c>
      <c r="AP88" s="5">
        <f>AVERAGEIF(df_arabica_clean[Country of Origin],df_arabica_clean[[#This Row],[Country of Origin]],df_arabica_clean[Total Cup Points])</f>
        <v>83.877368421052623</v>
      </c>
      <c r="AQ88" s="1">
        <f>+COUNTIF(df_arabica_clean[Country of Origin],df_arabica_clean[[#This Row],[Country of Origin]])</f>
        <v>19</v>
      </c>
    </row>
    <row r="89" spans="1:43" x14ac:dyDescent="0.25">
      <c r="A89">
        <v>124</v>
      </c>
      <c r="B89">
        <v>124</v>
      </c>
      <c r="C89" s="1" t="s">
        <v>39</v>
      </c>
      <c r="D89" s="1" t="s">
        <v>846</v>
      </c>
      <c r="E89" s="1" t="s">
        <v>235</v>
      </c>
      <c r="F89" s="1" t="s">
        <v>847</v>
      </c>
      <c r="G89" s="1" t="s">
        <v>848</v>
      </c>
      <c r="H89" s="1">
        <v>1100</v>
      </c>
      <c r="I89" s="1">
        <f>IF(df_arabica_clean[[#This Row],[Altitude]] &lt;= 2500, df_arabica_clean[[#This Row],[Altitude]], ROUND(df_arabica_clean[[#This Row],[Altitude]] / 3.281, 0))</f>
        <v>1100</v>
      </c>
      <c r="J89" s="1" t="str">
        <f>IF(df_arabica_clean[[#This Row],[Altitude]]&gt;2500,"Convertido","Original")</f>
        <v>Original</v>
      </c>
      <c r="K89" s="1" t="s">
        <v>606</v>
      </c>
      <c r="L89" s="1" t="s">
        <v>849</v>
      </c>
      <c r="M89">
        <v>2</v>
      </c>
      <c r="N89" s="1" t="s">
        <v>214</v>
      </c>
      <c r="O89" s="1" t="s">
        <v>240</v>
      </c>
      <c r="P89" s="1" t="s">
        <v>48</v>
      </c>
      <c r="Q89" s="1" t="s">
        <v>318</v>
      </c>
      <c r="R89" s="1" t="s">
        <v>850</v>
      </c>
      <c r="S89" s="1" t="s">
        <v>184</v>
      </c>
      <c r="T89" s="1" t="s">
        <v>51</v>
      </c>
      <c r="U89" s="1" t="s">
        <v>67</v>
      </c>
      <c r="V89">
        <v>7.67</v>
      </c>
      <c r="W89">
        <v>7.67</v>
      </c>
      <c r="X89">
        <v>7.42</v>
      </c>
      <c r="Y89">
        <v>7.75</v>
      </c>
      <c r="Z89">
        <v>7.5</v>
      </c>
      <c r="AA89">
        <v>7.75</v>
      </c>
      <c r="AB89">
        <v>10</v>
      </c>
      <c r="AC89">
        <v>10</v>
      </c>
      <c r="AD89">
        <v>10</v>
      </c>
      <c r="AE89">
        <v>7.58</v>
      </c>
      <c r="AF89">
        <v>83.33</v>
      </c>
      <c r="AG89">
        <v>13.5</v>
      </c>
      <c r="AH89">
        <v>0</v>
      </c>
      <c r="AI89">
        <v>0</v>
      </c>
      <c r="AJ89" s="1" t="s">
        <v>125</v>
      </c>
      <c r="AK89">
        <v>0</v>
      </c>
      <c r="AL89" s="1" t="s">
        <v>320</v>
      </c>
      <c r="AM89" s="1" t="s">
        <v>240</v>
      </c>
      <c r="AN89" s="1" t="s">
        <v>246</v>
      </c>
      <c r="AO89" s="1" t="s">
        <v>247</v>
      </c>
      <c r="AP89" s="5">
        <f>AVERAGEIF(df_arabica_clean[Country of Origin],df_arabica_clean[[#This Row],[Country of Origin]],df_arabica_clean[Total Cup Points])</f>
        <v>83.877368421052623</v>
      </c>
      <c r="AQ89" s="1">
        <f>+COUNTIF(df_arabica_clean[Country of Origin],df_arabica_clean[[#This Row],[Country of Origin]])</f>
        <v>19</v>
      </c>
    </row>
    <row r="90" spans="1:43" x14ac:dyDescent="0.25">
      <c r="A90">
        <v>193</v>
      </c>
      <c r="B90">
        <v>193</v>
      </c>
      <c r="C90" s="1" t="s">
        <v>39</v>
      </c>
      <c r="D90" s="1" t="s">
        <v>1164</v>
      </c>
      <c r="E90" s="1" t="s">
        <v>1165</v>
      </c>
      <c r="F90" s="1" t="s">
        <v>1164</v>
      </c>
      <c r="G90" s="1" t="s">
        <v>43</v>
      </c>
      <c r="H90" s="1">
        <v>1300</v>
      </c>
      <c r="I90" s="1">
        <f>IF(df_arabica_clean[[#This Row],[Altitude]] &lt;= 2500, df_arabica_clean[[#This Row],[Altitude]], ROUND(df_arabica_clean[[#This Row],[Altitude]] / 3.281, 0))</f>
        <v>1300</v>
      </c>
      <c r="J90" s="1" t="str">
        <f>IF(df_arabica_clean[[#This Row],[Altitude]]&gt;2500,"Convertido","Original")</f>
        <v>Original</v>
      </c>
      <c r="K90" s="1" t="s">
        <v>723</v>
      </c>
      <c r="L90" s="1" t="s">
        <v>1164</v>
      </c>
      <c r="M90">
        <v>1</v>
      </c>
      <c r="N90" s="1" t="s">
        <v>106</v>
      </c>
      <c r="O90" s="1" t="s">
        <v>47</v>
      </c>
      <c r="P90" s="1" t="s">
        <v>48</v>
      </c>
      <c r="Q90" s="1" t="s">
        <v>1166</v>
      </c>
      <c r="R90" s="1" t="s">
        <v>43</v>
      </c>
      <c r="S90" s="1" t="s">
        <v>1167</v>
      </c>
      <c r="T90" s="1" t="s">
        <v>51</v>
      </c>
      <c r="U90" s="1" t="s">
        <v>67</v>
      </c>
      <c r="V90">
        <v>7.42</v>
      </c>
      <c r="W90">
        <v>7.25</v>
      </c>
      <c r="X90">
        <v>7.25</v>
      </c>
      <c r="Y90">
        <v>7.42</v>
      </c>
      <c r="Z90">
        <v>7.17</v>
      </c>
      <c r="AA90">
        <v>7.33</v>
      </c>
      <c r="AB90">
        <v>10</v>
      </c>
      <c r="AC90">
        <v>10</v>
      </c>
      <c r="AD90">
        <v>10</v>
      </c>
      <c r="AE90">
        <v>7.33</v>
      </c>
      <c r="AF90">
        <v>81.17</v>
      </c>
      <c r="AG90">
        <v>11.4</v>
      </c>
      <c r="AH90">
        <v>0</v>
      </c>
      <c r="AI90">
        <v>2</v>
      </c>
      <c r="AJ90" s="1" t="s">
        <v>125</v>
      </c>
      <c r="AK90">
        <v>2</v>
      </c>
      <c r="AL90" s="1" t="s">
        <v>1168</v>
      </c>
      <c r="AM90" s="1" t="s">
        <v>47</v>
      </c>
      <c r="AN90" s="1" t="s">
        <v>55</v>
      </c>
      <c r="AO90" s="1" t="s">
        <v>56</v>
      </c>
      <c r="AP90" s="5">
        <f>AVERAGEIF(df_arabica_clean[Country of Origin],df_arabica_clean[[#This Row],[Country of Origin]],df_arabica_clean[Total Cup Points])</f>
        <v>83.877368421052623</v>
      </c>
      <c r="AQ90" s="1">
        <f>+COUNTIF(df_arabica_clean[Country of Origin],df_arabica_clean[[#This Row],[Country of Origin]])</f>
        <v>19</v>
      </c>
    </row>
    <row r="91" spans="1:43" x14ac:dyDescent="0.25">
      <c r="A91">
        <v>142</v>
      </c>
      <c r="B91">
        <v>142</v>
      </c>
      <c r="C91" s="1" t="s">
        <v>39</v>
      </c>
      <c r="D91" s="1" t="s">
        <v>927</v>
      </c>
      <c r="E91" s="1" t="s">
        <v>928</v>
      </c>
      <c r="F91" s="1" t="s">
        <v>927</v>
      </c>
      <c r="G91" s="1" t="s">
        <v>43</v>
      </c>
      <c r="H91" s="1">
        <v>1350</v>
      </c>
      <c r="I91" s="1">
        <f>IF(df_arabica_clean[[#This Row],[Altitude]] &lt;= 2500, df_arabica_clean[[#This Row],[Altitude]], ROUND(df_arabica_clean[[#This Row],[Altitude]] / 3.281, 0))</f>
        <v>1350</v>
      </c>
      <c r="J91" s="1" t="str">
        <f>IF(df_arabica_clean[[#This Row],[Altitude]]&gt;2500,"Convertido","Original")</f>
        <v>Original</v>
      </c>
      <c r="K91" s="1" t="s">
        <v>250</v>
      </c>
      <c r="L91" s="1" t="s">
        <v>929</v>
      </c>
      <c r="M91">
        <v>1</v>
      </c>
      <c r="N91" s="1" t="s">
        <v>872</v>
      </c>
      <c r="O91" s="1" t="s">
        <v>47</v>
      </c>
      <c r="P91" s="1" t="s">
        <v>48</v>
      </c>
      <c r="Q91" s="1" t="s">
        <v>810</v>
      </c>
      <c r="R91" s="1" t="s">
        <v>43</v>
      </c>
      <c r="S91" s="1" t="s">
        <v>930</v>
      </c>
      <c r="T91" s="1" t="s">
        <v>51</v>
      </c>
      <c r="U91" s="1" t="s">
        <v>67</v>
      </c>
      <c r="V91">
        <v>7.58</v>
      </c>
      <c r="W91">
        <v>7.5</v>
      </c>
      <c r="X91">
        <v>7.5</v>
      </c>
      <c r="Y91">
        <v>7.67</v>
      </c>
      <c r="Z91">
        <v>7.58</v>
      </c>
      <c r="AA91">
        <v>7.5</v>
      </c>
      <c r="AB91">
        <v>10</v>
      </c>
      <c r="AC91">
        <v>10</v>
      </c>
      <c r="AD91">
        <v>10</v>
      </c>
      <c r="AE91">
        <v>7.58</v>
      </c>
      <c r="AF91">
        <v>82.92</v>
      </c>
      <c r="AG91">
        <v>11.5</v>
      </c>
      <c r="AH91">
        <v>0</v>
      </c>
      <c r="AI91">
        <v>1</v>
      </c>
      <c r="AJ91" s="1" t="s">
        <v>125</v>
      </c>
      <c r="AK91">
        <v>3</v>
      </c>
      <c r="AL91" s="1" t="s">
        <v>811</v>
      </c>
      <c r="AM91" s="1" t="s">
        <v>47</v>
      </c>
      <c r="AN91" s="1" t="s">
        <v>55</v>
      </c>
      <c r="AO91" s="1" t="s">
        <v>56</v>
      </c>
      <c r="AP91" s="5">
        <f>AVERAGEIF(df_arabica_clean[Country of Origin],df_arabica_clean[[#This Row],[Country of Origin]],df_arabica_clean[Total Cup Points])</f>
        <v>83.877368421052623</v>
      </c>
      <c r="AQ91" s="1">
        <f>+COUNTIF(df_arabica_clean[Country of Origin],df_arabica_clean[[#This Row],[Country of Origin]])</f>
        <v>19</v>
      </c>
    </row>
    <row r="92" spans="1:43" x14ac:dyDescent="0.25">
      <c r="A92">
        <v>23</v>
      </c>
      <c r="B92">
        <v>23</v>
      </c>
      <c r="C92" s="1" t="s">
        <v>39</v>
      </c>
      <c r="D92" s="1" t="s">
        <v>248</v>
      </c>
      <c r="E92" s="1" t="s">
        <v>249</v>
      </c>
      <c r="F92" s="1" t="s">
        <v>248</v>
      </c>
      <c r="G92" s="1" t="s">
        <v>43</v>
      </c>
      <c r="H92" s="1">
        <v>1350</v>
      </c>
      <c r="I92" s="1">
        <f>IF(df_arabica_clean[[#This Row],[Altitude]] &lt;= 2500, df_arabica_clean[[#This Row],[Altitude]], ROUND(df_arabica_clean[[#This Row],[Altitude]] / 3.281, 0))</f>
        <v>1350</v>
      </c>
      <c r="J92" s="1" t="str">
        <f>IF(df_arabica_clean[[#This Row],[Altitude]]&gt;2500,"Convertido","Original")</f>
        <v>Original</v>
      </c>
      <c r="K92" s="1" t="s">
        <v>250</v>
      </c>
      <c r="L92" s="1" t="s">
        <v>251</v>
      </c>
      <c r="M92">
        <v>6</v>
      </c>
      <c r="N92" s="1" t="s">
        <v>192</v>
      </c>
      <c r="O92" s="1" t="s">
        <v>47</v>
      </c>
      <c r="P92" s="1" t="s">
        <v>89</v>
      </c>
      <c r="Q92" s="1" t="s">
        <v>193</v>
      </c>
      <c r="R92" s="1" t="s">
        <v>43</v>
      </c>
      <c r="S92" s="1" t="s">
        <v>252</v>
      </c>
      <c r="T92" s="1" t="s">
        <v>51</v>
      </c>
      <c r="U92" s="1" t="s">
        <v>42</v>
      </c>
      <c r="V92">
        <v>8.08</v>
      </c>
      <c r="W92">
        <v>8</v>
      </c>
      <c r="X92">
        <v>7.83</v>
      </c>
      <c r="Y92">
        <v>8.17</v>
      </c>
      <c r="Z92">
        <v>7.75</v>
      </c>
      <c r="AA92">
        <v>7.83</v>
      </c>
      <c r="AB92">
        <v>10</v>
      </c>
      <c r="AC92">
        <v>10</v>
      </c>
      <c r="AD92">
        <v>10</v>
      </c>
      <c r="AE92">
        <v>8</v>
      </c>
      <c r="AF92">
        <v>85.67</v>
      </c>
      <c r="AG92">
        <v>11.3</v>
      </c>
      <c r="AH92">
        <v>0</v>
      </c>
      <c r="AI92">
        <v>0</v>
      </c>
      <c r="AJ92" s="1" t="s">
        <v>160</v>
      </c>
      <c r="AK92">
        <v>2</v>
      </c>
      <c r="AL92" s="1" t="s">
        <v>195</v>
      </c>
      <c r="AM92" s="1" t="s">
        <v>47</v>
      </c>
      <c r="AN92" s="1" t="s">
        <v>55</v>
      </c>
      <c r="AO92" s="1" t="s">
        <v>56</v>
      </c>
      <c r="AP92" s="5">
        <f>AVERAGEIF(df_arabica_clean[Country of Origin],df_arabica_clean[[#This Row],[Country of Origin]],df_arabica_clean[Total Cup Points])</f>
        <v>83.877368421052623</v>
      </c>
      <c r="AQ92" s="1">
        <f>+COUNTIF(df_arabica_clean[Country of Origin],df_arabica_clean[[#This Row],[Country of Origin]])</f>
        <v>19</v>
      </c>
    </row>
    <row r="93" spans="1:43" hidden="1" x14ac:dyDescent="0.25">
      <c r="A93">
        <v>178</v>
      </c>
      <c r="B93">
        <v>178</v>
      </c>
      <c r="C93" s="1" t="s">
        <v>429</v>
      </c>
      <c r="D93" s="1" t="s">
        <v>1094</v>
      </c>
      <c r="E93" s="1" t="s">
        <v>1095</v>
      </c>
      <c r="F93" s="1" t="s">
        <v>1096</v>
      </c>
      <c r="G93" s="1" t="s">
        <v>433</v>
      </c>
      <c r="H93" s="1">
        <v>1350</v>
      </c>
      <c r="I93" s="1">
        <f>IF(df_arabica_clean[[#This Row],[Altitude]] &lt;= 2500, df_arabica_clean[[#This Row],[Altitude]], ROUND(df_arabica_clean[[#This Row],[Altitude]] / 3.281, 0))</f>
        <v>1350</v>
      </c>
      <c r="J93" s="1" t="str">
        <f>IF(df_arabica_clean[[#This Row],[Altitude]]&gt;2500,"Convertido","Original")</f>
        <v>Original</v>
      </c>
      <c r="K93" s="1" t="s">
        <v>1097</v>
      </c>
      <c r="L93" s="1" t="s">
        <v>1098</v>
      </c>
      <c r="M93">
        <v>320</v>
      </c>
      <c r="N93" s="1" t="s">
        <v>132</v>
      </c>
      <c r="O93" s="1" t="s">
        <v>435</v>
      </c>
      <c r="P93" s="1" t="s">
        <v>89</v>
      </c>
      <c r="Q93" s="1" t="s">
        <v>1099</v>
      </c>
      <c r="R93" s="1" t="s">
        <v>437</v>
      </c>
      <c r="S93" s="1" t="s">
        <v>42</v>
      </c>
      <c r="T93" s="1" t="s">
        <v>51</v>
      </c>
      <c r="U93" s="1" t="s">
        <v>188</v>
      </c>
      <c r="V93">
        <v>7.67</v>
      </c>
      <c r="W93">
        <v>7.33</v>
      </c>
      <c r="X93">
        <v>7.25</v>
      </c>
      <c r="Y93">
        <v>7.67</v>
      </c>
      <c r="Z93">
        <v>7.42</v>
      </c>
      <c r="AA93">
        <v>7.25</v>
      </c>
      <c r="AB93">
        <v>10</v>
      </c>
      <c r="AC93">
        <v>10</v>
      </c>
      <c r="AD93">
        <v>10</v>
      </c>
      <c r="AE93">
        <v>7.42</v>
      </c>
      <c r="AF93">
        <v>82</v>
      </c>
      <c r="AG93">
        <v>12.5</v>
      </c>
      <c r="AH93">
        <v>0</v>
      </c>
      <c r="AI93">
        <v>0</v>
      </c>
      <c r="AJ93" s="1" t="s">
        <v>257</v>
      </c>
      <c r="AK93">
        <v>0</v>
      </c>
      <c r="AL93" s="1" t="s">
        <v>1100</v>
      </c>
      <c r="AM93" s="1" t="s">
        <v>435</v>
      </c>
      <c r="AN93" s="1" t="s">
        <v>439</v>
      </c>
      <c r="AO93" s="1" t="s">
        <v>440</v>
      </c>
      <c r="AP93" s="1">
        <f>AVERAGEIF(df_arabica_clean[Country of Origin],df_arabica_clean[[#This Row],[Country of Origin]],df_arabica_clean[Total Cup Points])</f>
        <v>83.693333333333328</v>
      </c>
      <c r="AQ93" s="1">
        <f>+COUNTIF(df_arabica_clean[Country of Origin],df_arabica_clean[[#This Row],[Country of Origin]])</f>
        <v>3</v>
      </c>
    </row>
    <row r="94" spans="1:43" x14ac:dyDescent="0.25">
      <c r="A94">
        <v>131</v>
      </c>
      <c r="B94">
        <v>131</v>
      </c>
      <c r="C94" s="1" t="s">
        <v>39</v>
      </c>
      <c r="D94" s="1" t="s">
        <v>869</v>
      </c>
      <c r="E94" s="1" t="s">
        <v>870</v>
      </c>
      <c r="F94" s="1" t="s">
        <v>869</v>
      </c>
      <c r="G94" s="1" t="s">
        <v>43</v>
      </c>
      <c r="H94" s="1">
        <v>1390</v>
      </c>
      <c r="I94" s="1">
        <f>IF(df_arabica_clean[[#This Row],[Altitude]] &lt;= 2500, df_arabica_clean[[#This Row],[Altitude]], ROUND(df_arabica_clean[[#This Row],[Altitude]] / 3.281, 0))</f>
        <v>1390</v>
      </c>
      <c r="J94" s="1" t="str">
        <f>IF(df_arabica_clean[[#This Row],[Altitude]]&gt;2500,"Convertido","Original")</f>
        <v>Original</v>
      </c>
      <c r="K94" s="1" t="s">
        <v>250</v>
      </c>
      <c r="L94" s="1" t="s">
        <v>871</v>
      </c>
      <c r="M94">
        <v>2</v>
      </c>
      <c r="N94" s="1" t="s">
        <v>872</v>
      </c>
      <c r="O94" s="1" t="s">
        <v>47</v>
      </c>
      <c r="P94" s="1" t="s">
        <v>89</v>
      </c>
      <c r="Q94" s="1" t="s">
        <v>193</v>
      </c>
      <c r="R94" s="1" t="s">
        <v>43</v>
      </c>
      <c r="S94" s="1" t="s">
        <v>873</v>
      </c>
      <c r="T94" s="1" t="s">
        <v>51</v>
      </c>
      <c r="U94" s="1" t="s">
        <v>874</v>
      </c>
      <c r="V94">
        <v>7.67</v>
      </c>
      <c r="W94">
        <v>7.67</v>
      </c>
      <c r="X94">
        <v>7.58</v>
      </c>
      <c r="Y94">
        <v>7.67</v>
      </c>
      <c r="Z94">
        <v>7.58</v>
      </c>
      <c r="AA94">
        <v>7.58</v>
      </c>
      <c r="AB94">
        <v>10</v>
      </c>
      <c r="AC94">
        <v>10</v>
      </c>
      <c r="AD94">
        <v>10</v>
      </c>
      <c r="AE94">
        <v>7.5</v>
      </c>
      <c r="AF94">
        <v>83.25</v>
      </c>
      <c r="AG94">
        <v>10.9</v>
      </c>
      <c r="AH94">
        <v>0</v>
      </c>
      <c r="AI94">
        <v>0</v>
      </c>
      <c r="AJ94" s="1" t="s">
        <v>160</v>
      </c>
      <c r="AK94">
        <v>2</v>
      </c>
      <c r="AL94" s="1" t="s">
        <v>195</v>
      </c>
      <c r="AM94" s="1" t="s">
        <v>47</v>
      </c>
      <c r="AN94" s="1" t="s">
        <v>55</v>
      </c>
      <c r="AO94" s="1" t="s">
        <v>56</v>
      </c>
      <c r="AP94" s="5">
        <f>AVERAGEIF(df_arabica_clean[Country of Origin],df_arabica_clean[[#This Row],[Country of Origin]],df_arabica_clean[Total Cup Points])</f>
        <v>83.877368421052623</v>
      </c>
      <c r="AQ94" s="1">
        <f>+COUNTIF(df_arabica_clean[Country of Origin],df_arabica_clean[[#This Row],[Country of Origin]])</f>
        <v>19</v>
      </c>
    </row>
    <row r="95" spans="1:43" x14ac:dyDescent="0.25">
      <c r="A95">
        <v>92</v>
      </c>
      <c r="B95">
        <v>92</v>
      </c>
      <c r="C95" s="1" t="s">
        <v>39</v>
      </c>
      <c r="D95" s="1" t="s">
        <v>678</v>
      </c>
      <c r="E95" s="1" t="s">
        <v>679</v>
      </c>
      <c r="F95" s="1" t="s">
        <v>680</v>
      </c>
      <c r="G95" s="1" t="s">
        <v>433</v>
      </c>
      <c r="H95" s="1">
        <v>1400</v>
      </c>
      <c r="I95" s="1">
        <f>IF(df_arabica_clean[[#This Row],[Altitude]] &lt;= 2500, df_arabica_clean[[#This Row],[Altitude]], ROUND(df_arabica_clean[[#This Row],[Altitude]] / 3.281, 0))</f>
        <v>1400</v>
      </c>
      <c r="J95" s="1" t="str">
        <f>IF(df_arabica_clean[[#This Row],[Altitude]]&gt;2500,"Convertido","Original")</f>
        <v>Original</v>
      </c>
      <c r="K95" s="1" t="s">
        <v>681</v>
      </c>
      <c r="L95" s="1" t="s">
        <v>682</v>
      </c>
      <c r="M95">
        <v>275</v>
      </c>
      <c r="N95" s="1" t="s">
        <v>608</v>
      </c>
      <c r="O95" s="1" t="s">
        <v>435</v>
      </c>
      <c r="P95" s="1" t="s">
        <v>89</v>
      </c>
      <c r="Q95" s="1" t="s">
        <v>683</v>
      </c>
      <c r="R95" s="1" t="s">
        <v>437</v>
      </c>
      <c r="S95" s="1" t="s">
        <v>184</v>
      </c>
      <c r="T95" s="1" t="s">
        <v>51</v>
      </c>
      <c r="U95" s="1" t="s">
        <v>67</v>
      </c>
      <c r="V95">
        <v>7.67</v>
      </c>
      <c r="W95">
        <v>7.83</v>
      </c>
      <c r="X95">
        <v>7.58</v>
      </c>
      <c r="Y95">
        <v>7.92</v>
      </c>
      <c r="Z95">
        <v>7.67</v>
      </c>
      <c r="AA95">
        <v>7.67</v>
      </c>
      <c r="AB95">
        <v>10</v>
      </c>
      <c r="AC95">
        <v>10</v>
      </c>
      <c r="AD95">
        <v>10</v>
      </c>
      <c r="AE95">
        <v>7.67</v>
      </c>
      <c r="AF95">
        <v>84</v>
      </c>
      <c r="AG95">
        <v>13.3</v>
      </c>
      <c r="AH95">
        <v>0</v>
      </c>
      <c r="AI95">
        <v>2</v>
      </c>
      <c r="AJ95" s="1" t="s">
        <v>53</v>
      </c>
      <c r="AK95">
        <v>3</v>
      </c>
      <c r="AL95" s="1" t="s">
        <v>684</v>
      </c>
      <c r="AM95" s="1" t="s">
        <v>435</v>
      </c>
      <c r="AN95" s="1" t="s">
        <v>439</v>
      </c>
      <c r="AO95" s="1" t="s">
        <v>440</v>
      </c>
      <c r="AP95" s="5">
        <f>AVERAGEIF(df_arabica_clean[Country of Origin],df_arabica_clean[[#This Row],[Country of Origin]],df_arabica_clean[Total Cup Points])</f>
        <v>83.877368421052623</v>
      </c>
      <c r="AQ95" s="1">
        <f>+COUNTIF(df_arabica_clean[Country of Origin],df_arabica_clean[[#This Row],[Country of Origin]])</f>
        <v>19</v>
      </c>
    </row>
    <row r="96" spans="1:43" hidden="1" x14ac:dyDescent="0.25">
      <c r="A96">
        <v>204</v>
      </c>
      <c r="B96">
        <v>204</v>
      </c>
      <c r="C96" s="1" t="s">
        <v>72</v>
      </c>
      <c r="D96" s="1" t="s">
        <v>1216</v>
      </c>
      <c r="E96" s="1" t="s">
        <v>1217</v>
      </c>
      <c r="F96" s="1" t="s">
        <v>1218</v>
      </c>
      <c r="G96" s="1" t="s">
        <v>698</v>
      </c>
      <c r="H96" s="1">
        <v>1300</v>
      </c>
      <c r="I96" s="1">
        <f>IF(df_arabica_clean[[#This Row],[Altitude]] &lt;= 2500, df_arabica_clean[[#This Row],[Altitude]], ROUND(df_arabica_clean[[#This Row],[Altitude]] / 3.281, 0))</f>
        <v>1300</v>
      </c>
      <c r="J96" s="1" t="str">
        <f>IF(df_arabica_clean[[#This Row],[Altitude]]&gt;2500,"Convertido","Original")</f>
        <v>Original</v>
      </c>
      <c r="K96" s="1" t="s">
        <v>1219</v>
      </c>
      <c r="L96" s="1" t="s">
        <v>1220</v>
      </c>
      <c r="M96">
        <v>343</v>
      </c>
      <c r="N96" s="1" t="s">
        <v>132</v>
      </c>
      <c r="O96" s="1" t="s">
        <v>47</v>
      </c>
      <c r="P96" s="1" t="s">
        <v>48</v>
      </c>
      <c r="Q96" s="1" t="s">
        <v>1221</v>
      </c>
      <c r="R96" s="1" t="s">
        <v>701</v>
      </c>
      <c r="S96" s="1" t="s">
        <v>243</v>
      </c>
      <c r="T96" s="1" t="s">
        <v>51</v>
      </c>
      <c r="U96" s="1" t="s">
        <v>67</v>
      </c>
      <c r="V96">
        <v>7.25</v>
      </c>
      <c r="W96">
        <v>7.17</v>
      </c>
      <c r="X96">
        <v>7.08</v>
      </c>
      <c r="Y96">
        <v>7</v>
      </c>
      <c r="Z96">
        <v>7.08</v>
      </c>
      <c r="AA96">
        <v>7.08</v>
      </c>
      <c r="AB96">
        <v>10</v>
      </c>
      <c r="AC96">
        <v>10</v>
      </c>
      <c r="AD96">
        <v>10</v>
      </c>
      <c r="AE96">
        <v>7</v>
      </c>
      <c r="AF96">
        <v>79.67</v>
      </c>
      <c r="AG96">
        <v>11.6</v>
      </c>
      <c r="AH96">
        <v>0</v>
      </c>
      <c r="AI96">
        <v>9</v>
      </c>
      <c r="AJ96" s="1" t="s">
        <v>53</v>
      </c>
      <c r="AK96">
        <v>11</v>
      </c>
      <c r="AL96" s="1" t="s">
        <v>1222</v>
      </c>
      <c r="AM96" s="1" t="s">
        <v>47</v>
      </c>
      <c r="AN96" s="1" t="s">
        <v>55</v>
      </c>
      <c r="AO96" s="1" t="s">
        <v>56</v>
      </c>
      <c r="AP96" s="1">
        <f>AVERAGEIF(df_arabica_clean[Country of Origin],df_arabica_clean[[#This Row],[Country of Origin]],df_arabica_clean[Total Cup Points])</f>
        <v>83.39</v>
      </c>
      <c r="AQ96" s="1">
        <f>+COUNTIF(df_arabica_clean[Country of Origin],df_arabica_clean[[#This Row],[Country of Origin]])</f>
        <v>3</v>
      </c>
    </row>
    <row r="97" spans="1:43" x14ac:dyDescent="0.25">
      <c r="A97">
        <v>97</v>
      </c>
      <c r="B97">
        <v>97</v>
      </c>
      <c r="C97" s="1" t="s">
        <v>39</v>
      </c>
      <c r="D97" s="1" t="s">
        <v>42</v>
      </c>
      <c r="E97" s="1" t="s">
        <v>696</v>
      </c>
      <c r="F97" s="1" t="s">
        <v>697</v>
      </c>
      <c r="G97" s="1" t="s">
        <v>698</v>
      </c>
      <c r="H97" s="1">
        <v>1411</v>
      </c>
      <c r="I97" s="1">
        <f>IF(df_arabica_clean[[#This Row],[Altitude]] &lt;= 2500, df_arabica_clean[[#This Row],[Altitude]], ROUND(df_arabica_clean[[#This Row],[Altitude]] / 3.281, 0))</f>
        <v>1411</v>
      </c>
      <c r="J97" s="1" t="str">
        <f>IF(df_arabica_clean[[#This Row],[Altitude]]&gt;2500,"Convertido","Original")</f>
        <v>Original</v>
      </c>
      <c r="K97" s="1" t="s">
        <v>699</v>
      </c>
      <c r="L97" s="1" t="s">
        <v>700</v>
      </c>
      <c r="M97">
        <v>375</v>
      </c>
      <c r="N97" s="1" t="s">
        <v>608</v>
      </c>
      <c r="O97" s="1" t="s">
        <v>47</v>
      </c>
      <c r="P97" s="1" t="s">
        <v>134</v>
      </c>
      <c r="Q97" s="1" t="s">
        <v>397</v>
      </c>
      <c r="R97" s="1" t="s">
        <v>701</v>
      </c>
      <c r="S97" s="1" t="s">
        <v>42</v>
      </c>
      <c r="T97" s="1" t="s">
        <v>51</v>
      </c>
      <c r="U97" s="1" t="s">
        <v>67</v>
      </c>
      <c r="V97">
        <v>7.67</v>
      </c>
      <c r="W97">
        <v>7.75</v>
      </c>
      <c r="X97">
        <v>7.67</v>
      </c>
      <c r="Y97">
        <v>7.75</v>
      </c>
      <c r="Z97">
        <v>7.67</v>
      </c>
      <c r="AA97">
        <v>7.67</v>
      </c>
      <c r="AB97">
        <v>10</v>
      </c>
      <c r="AC97">
        <v>10</v>
      </c>
      <c r="AD97">
        <v>10</v>
      </c>
      <c r="AE97">
        <v>7.67</v>
      </c>
      <c r="AF97">
        <v>83.83</v>
      </c>
      <c r="AG97">
        <v>11.9</v>
      </c>
      <c r="AH97">
        <v>0</v>
      </c>
      <c r="AI97">
        <v>1</v>
      </c>
      <c r="AJ97" s="1" t="s">
        <v>53</v>
      </c>
      <c r="AK97">
        <v>1</v>
      </c>
      <c r="AL97" s="1" t="s">
        <v>399</v>
      </c>
      <c r="AM97" s="1" t="s">
        <v>47</v>
      </c>
      <c r="AN97" s="1" t="s">
        <v>55</v>
      </c>
      <c r="AO97" s="1" t="s">
        <v>56</v>
      </c>
      <c r="AP97" s="5">
        <f>AVERAGEIF(df_arabica_clean[Country of Origin],df_arabica_clean[[#This Row],[Country of Origin]],df_arabica_clean[Total Cup Points])</f>
        <v>83.877368421052623</v>
      </c>
      <c r="AQ97" s="1">
        <f>+COUNTIF(df_arabica_clean[Country of Origin],df_arabica_clean[[#This Row],[Country of Origin]])</f>
        <v>19</v>
      </c>
    </row>
    <row r="98" spans="1:43" hidden="1" x14ac:dyDescent="0.25">
      <c r="A98">
        <v>26</v>
      </c>
      <c r="B98">
        <v>26</v>
      </c>
      <c r="C98" s="1" t="s">
        <v>57</v>
      </c>
      <c r="D98" s="1" t="s">
        <v>271</v>
      </c>
      <c r="E98" s="1" t="s">
        <v>272</v>
      </c>
      <c r="F98" s="1" t="s">
        <v>271</v>
      </c>
      <c r="G98" s="1" t="s">
        <v>60</v>
      </c>
      <c r="H98" s="1">
        <v>1300</v>
      </c>
      <c r="I98" s="1">
        <f>IF(df_arabica_clean[[#This Row],[Altitude]] &lt;= 2500, df_arabica_clean[[#This Row],[Altitude]], ROUND(df_arabica_clean[[#This Row],[Altitude]] / 3.281, 0))</f>
        <v>1300</v>
      </c>
      <c r="J98" s="1" t="str">
        <f>IF(df_arabica_clean[[#This Row],[Altitude]]&gt;2500,"Convertido","Original")</f>
        <v>Original</v>
      </c>
      <c r="K98" s="1" t="s">
        <v>61</v>
      </c>
      <c r="L98" s="1" t="s">
        <v>273</v>
      </c>
      <c r="M98">
        <v>1</v>
      </c>
      <c r="N98" s="1" t="s">
        <v>274</v>
      </c>
      <c r="O98" s="1" t="s">
        <v>64</v>
      </c>
      <c r="P98" s="1" t="s">
        <v>48</v>
      </c>
      <c r="Q98" s="1" t="s">
        <v>65</v>
      </c>
      <c r="R98" s="1" t="s">
        <v>275</v>
      </c>
      <c r="S98" s="1" t="s">
        <v>66</v>
      </c>
      <c r="T98" s="1" t="s">
        <v>51</v>
      </c>
      <c r="U98" s="1" t="s">
        <v>118</v>
      </c>
      <c r="V98">
        <v>7.92</v>
      </c>
      <c r="W98">
        <v>7.92</v>
      </c>
      <c r="X98">
        <v>8</v>
      </c>
      <c r="Y98">
        <v>7.92</v>
      </c>
      <c r="Z98">
        <v>7.83</v>
      </c>
      <c r="AA98">
        <v>7.92</v>
      </c>
      <c r="AB98">
        <v>10</v>
      </c>
      <c r="AC98">
        <v>10</v>
      </c>
      <c r="AD98">
        <v>10</v>
      </c>
      <c r="AE98">
        <v>8</v>
      </c>
      <c r="AF98">
        <v>85.5</v>
      </c>
      <c r="AG98">
        <v>9.1</v>
      </c>
      <c r="AH98">
        <v>0</v>
      </c>
      <c r="AI98">
        <v>0</v>
      </c>
      <c r="AJ98" s="1" t="s">
        <v>53</v>
      </c>
      <c r="AK98">
        <v>2</v>
      </c>
      <c r="AL98" s="1" t="s">
        <v>69</v>
      </c>
      <c r="AM98" s="1" t="s">
        <v>64</v>
      </c>
      <c r="AN98" s="1" t="s">
        <v>70</v>
      </c>
      <c r="AO98" s="1" t="s">
        <v>71</v>
      </c>
      <c r="AP98" s="1">
        <f>AVERAGEIF(df_arabica_clean[Country of Origin],df_arabica_clean[[#This Row],[Country of Origin]],df_arabica_clean[Total Cup Points])</f>
        <v>84.350327868852446</v>
      </c>
      <c r="AQ98" s="1">
        <f>+COUNTIF(df_arabica_clean[Country of Origin],df_arabica_clean[[#This Row],[Country of Origin]])</f>
        <v>61</v>
      </c>
    </row>
    <row r="99" spans="1:43" hidden="1" x14ac:dyDescent="0.25">
      <c r="A99">
        <v>54</v>
      </c>
      <c r="B99">
        <v>54</v>
      </c>
      <c r="C99" s="1" t="s">
        <v>57</v>
      </c>
      <c r="D99" s="1" t="s">
        <v>456</v>
      </c>
      <c r="E99" s="1" t="s">
        <v>457</v>
      </c>
      <c r="F99" s="1" t="s">
        <v>456</v>
      </c>
      <c r="G99" s="1" t="s">
        <v>60</v>
      </c>
      <c r="H99" s="1">
        <v>1300</v>
      </c>
      <c r="I99" s="1">
        <f>IF(df_arabica_clean[[#This Row],[Altitude]] &lt;= 2500, df_arabica_clean[[#This Row],[Altitude]], ROUND(df_arabica_clean[[#This Row],[Altitude]] / 3.281, 0))</f>
        <v>1300</v>
      </c>
      <c r="J99" s="1" t="str">
        <f>IF(df_arabica_clean[[#This Row],[Altitude]]&gt;2500,"Convertido","Original")</f>
        <v>Original</v>
      </c>
      <c r="K99" s="1" t="s">
        <v>61</v>
      </c>
      <c r="L99" s="1" t="s">
        <v>458</v>
      </c>
      <c r="M99">
        <v>1</v>
      </c>
      <c r="N99" s="1" t="s">
        <v>78</v>
      </c>
      <c r="O99" s="1" t="s">
        <v>64</v>
      </c>
      <c r="P99" s="1" t="s">
        <v>48</v>
      </c>
      <c r="Q99" s="1" t="s">
        <v>65</v>
      </c>
      <c r="R99" s="1" t="s">
        <v>64</v>
      </c>
      <c r="S99" s="1" t="s">
        <v>124</v>
      </c>
      <c r="T99" s="1" t="s">
        <v>51</v>
      </c>
      <c r="U99" s="1" t="s">
        <v>118</v>
      </c>
      <c r="V99">
        <v>7.83</v>
      </c>
      <c r="W99">
        <v>7.83</v>
      </c>
      <c r="X99">
        <v>7.67</v>
      </c>
      <c r="Y99">
        <v>7.67</v>
      </c>
      <c r="Z99">
        <v>7.83</v>
      </c>
      <c r="AA99">
        <v>8</v>
      </c>
      <c r="AB99">
        <v>10</v>
      </c>
      <c r="AC99">
        <v>10</v>
      </c>
      <c r="AD99">
        <v>10</v>
      </c>
      <c r="AE99">
        <v>8</v>
      </c>
      <c r="AF99">
        <v>84.83</v>
      </c>
      <c r="AG99">
        <v>9.5</v>
      </c>
      <c r="AH99">
        <v>0</v>
      </c>
      <c r="AI99">
        <v>0</v>
      </c>
      <c r="AJ99" s="1" t="s">
        <v>125</v>
      </c>
      <c r="AK99">
        <v>0</v>
      </c>
      <c r="AL99" s="1" t="s">
        <v>69</v>
      </c>
      <c r="AM99" s="1" t="s">
        <v>64</v>
      </c>
      <c r="AN99" s="1" t="s">
        <v>70</v>
      </c>
      <c r="AO99" s="1" t="s">
        <v>71</v>
      </c>
      <c r="AP99" s="1">
        <f>AVERAGEIF(df_arabica_clean[Country of Origin],df_arabica_clean[[#This Row],[Country of Origin]],df_arabica_clean[Total Cup Points])</f>
        <v>84.350327868852446</v>
      </c>
      <c r="AQ99" s="1">
        <f>+COUNTIF(df_arabica_clean[Country of Origin],df_arabica_clean[[#This Row],[Country of Origin]])</f>
        <v>61</v>
      </c>
    </row>
    <row r="100" spans="1:43" x14ac:dyDescent="0.25">
      <c r="A100">
        <v>185</v>
      </c>
      <c r="B100">
        <v>185</v>
      </c>
      <c r="C100" s="1" t="s">
        <v>39</v>
      </c>
      <c r="D100" s="1" t="s">
        <v>1136</v>
      </c>
      <c r="E100" s="1" t="s">
        <v>235</v>
      </c>
      <c r="F100" s="1" t="s">
        <v>1137</v>
      </c>
      <c r="G100" s="1" t="s">
        <v>837</v>
      </c>
      <c r="H100" s="1">
        <v>1574</v>
      </c>
      <c r="I100" s="1">
        <f>IF(df_arabica_clean[[#This Row],[Altitude]] &lt;= 2500, df_arabica_clean[[#This Row],[Altitude]], ROUND(df_arabica_clean[[#This Row],[Altitude]] / 3.281, 0))</f>
        <v>1574</v>
      </c>
      <c r="J100" s="1" t="str">
        <f>IF(df_arabica_clean[[#This Row],[Altitude]]&gt;2500,"Convertido","Original")</f>
        <v>Original</v>
      </c>
      <c r="K100" s="1" t="s">
        <v>1138</v>
      </c>
      <c r="L100" s="1" t="s">
        <v>1136</v>
      </c>
      <c r="M100">
        <v>275</v>
      </c>
      <c r="N100" s="1" t="s">
        <v>608</v>
      </c>
      <c r="O100" s="1" t="s">
        <v>64</v>
      </c>
      <c r="P100" s="1" t="s">
        <v>158</v>
      </c>
      <c r="Q100" s="1" t="s">
        <v>359</v>
      </c>
      <c r="R100" s="1" t="s">
        <v>840</v>
      </c>
      <c r="S100" s="1" t="s">
        <v>1138</v>
      </c>
      <c r="T100" s="1" t="s">
        <v>51</v>
      </c>
      <c r="U100" s="1" t="s">
        <v>67</v>
      </c>
      <c r="V100">
        <v>7.33</v>
      </c>
      <c r="W100">
        <v>7.5</v>
      </c>
      <c r="X100">
        <v>7.33</v>
      </c>
      <c r="Y100">
        <v>7.42</v>
      </c>
      <c r="Z100">
        <v>7.42</v>
      </c>
      <c r="AA100">
        <v>7.42</v>
      </c>
      <c r="AB100">
        <v>10</v>
      </c>
      <c r="AC100">
        <v>10</v>
      </c>
      <c r="AD100">
        <v>10</v>
      </c>
      <c r="AE100">
        <v>7.33</v>
      </c>
      <c r="AF100">
        <v>81.75</v>
      </c>
      <c r="AG100">
        <v>11.2</v>
      </c>
      <c r="AH100">
        <v>0</v>
      </c>
      <c r="AI100">
        <v>0</v>
      </c>
      <c r="AJ100" s="1" t="s">
        <v>98</v>
      </c>
      <c r="AK100">
        <v>0</v>
      </c>
      <c r="AL100" s="1" t="s">
        <v>361</v>
      </c>
      <c r="AM100" s="1" t="s">
        <v>64</v>
      </c>
      <c r="AN100" s="1" t="s">
        <v>70</v>
      </c>
      <c r="AO100" s="1" t="s">
        <v>71</v>
      </c>
      <c r="AP100" s="5">
        <f>AVERAGEIF(df_arabica_clean[Country of Origin],df_arabica_clean[[#This Row],[Country of Origin]],df_arabica_clean[Total Cup Points])</f>
        <v>83.877368421052623</v>
      </c>
      <c r="AQ100" s="1">
        <f>+COUNTIF(df_arabica_clean[Country of Origin],df_arabica_clean[[#This Row],[Country of Origin]])</f>
        <v>19</v>
      </c>
    </row>
    <row r="101" spans="1:43" hidden="1" x14ac:dyDescent="0.25">
      <c r="A101">
        <v>75</v>
      </c>
      <c r="B101">
        <v>75</v>
      </c>
      <c r="C101" s="1" t="s">
        <v>284</v>
      </c>
      <c r="D101" s="1" t="s">
        <v>584</v>
      </c>
      <c r="E101" s="1" t="s">
        <v>585</v>
      </c>
      <c r="F101" s="1" t="s">
        <v>586</v>
      </c>
      <c r="G101" s="1" t="s">
        <v>60</v>
      </c>
      <c r="H101" s="1">
        <v>1300</v>
      </c>
      <c r="I101" s="1">
        <f>IF(df_arabica_clean[[#This Row],[Altitude]] &lt;= 2500, df_arabica_clean[[#This Row],[Altitude]], ROUND(df_arabica_clean[[#This Row],[Altitude]] / 3.281, 0))</f>
        <v>1300</v>
      </c>
      <c r="J101" s="1" t="str">
        <f>IF(df_arabica_clean[[#This Row],[Altitude]]&gt;2500,"Convertido","Original")</f>
        <v>Original</v>
      </c>
      <c r="K101" s="1" t="s">
        <v>587</v>
      </c>
      <c r="L101" s="1" t="s">
        <v>588</v>
      </c>
      <c r="M101">
        <v>10</v>
      </c>
      <c r="N101" s="1" t="s">
        <v>352</v>
      </c>
      <c r="O101" s="1" t="s">
        <v>64</v>
      </c>
      <c r="P101" s="1" t="s">
        <v>89</v>
      </c>
      <c r="Q101" s="1" t="s">
        <v>453</v>
      </c>
      <c r="R101" s="1" t="s">
        <v>64</v>
      </c>
      <c r="S101" s="1" t="s">
        <v>409</v>
      </c>
      <c r="T101" s="1" t="s">
        <v>51</v>
      </c>
      <c r="U101" s="1" t="s">
        <v>67</v>
      </c>
      <c r="V101">
        <v>7.92</v>
      </c>
      <c r="W101">
        <v>7.83</v>
      </c>
      <c r="X101">
        <v>7.75</v>
      </c>
      <c r="Y101">
        <v>7.92</v>
      </c>
      <c r="Z101">
        <v>7.5</v>
      </c>
      <c r="AA101">
        <v>7.67</v>
      </c>
      <c r="AB101">
        <v>10</v>
      </c>
      <c r="AC101">
        <v>10</v>
      </c>
      <c r="AD101">
        <v>10</v>
      </c>
      <c r="AE101">
        <v>7.75</v>
      </c>
      <c r="AF101">
        <v>84.33</v>
      </c>
      <c r="AG101">
        <v>10.1</v>
      </c>
      <c r="AH101">
        <v>3</v>
      </c>
      <c r="AI101">
        <v>0</v>
      </c>
      <c r="AJ101" s="1" t="s">
        <v>98</v>
      </c>
      <c r="AK101">
        <v>7</v>
      </c>
      <c r="AL101" s="1" t="s">
        <v>455</v>
      </c>
      <c r="AM101" s="1" t="s">
        <v>64</v>
      </c>
      <c r="AN101" s="1" t="s">
        <v>70</v>
      </c>
      <c r="AO101" s="1" t="s">
        <v>71</v>
      </c>
      <c r="AP101" s="1">
        <f>AVERAGEIF(df_arabica_clean[Country of Origin],df_arabica_clean[[#This Row],[Country of Origin]],df_arabica_clean[Total Cup Points])</f>
        <v>83.65</v>
      </c>
      <c r="AQ101" s="1">
        <f>+COUNTIF(df_arabica_clean[Country of Origin],df_arabica_clean[[#This Row],[Country of Origin]])</f>
        <v>5</v>
      </c>
    </row>
    <row r="102" spans="1:43" hidden="1" x14ac:dyDescent="0.25">
      <c r="A102">
        <v>2</v>
      </c>
      <c r="B102">
        <v>2</v>
      </c>
      <c r="C102" s="1" t="s">
        <v>72</v>
      </c>
      <c r="D102" s="1" t="s">
        <v>73</v>
      </c>
      <c r="E102" s="1" t="s">
        <v>74</v>
      </c>
      <c r="F102" s="1" t="s">
        <v>75</v>
      </c>
      <c r="G102" s="1" t="s">
        <v>60</v>
      </c>
      <c r="H102" s="1">
        <v>1300</v>
      </c>
      <c r="I102" s="1">
        <f>IF(df_arabica_clean[[#This Row],[Altitude]] &lt;= 2500, df_arabica_clean[[#This Row],[Altitude]], ROUND(df_arabica_clean[[#This Row],[Altitude]] / 3.281, 0))</f>
        <v>1300</v>
      </c>
      <c r="J102" s="1" t="str">
        <f>IF(df_arabica_clean[[#This Row],[Altitude]]&gt;2500,"Convertido","Original")</f>
        <v>Original</v>
      </c>
      <c r="K102" s="1" t="s">
        <v>76</v>
      </c>
      <c r="L102" s="1" t="s">
        <v>77</v>
      </c>
      <c r="M102">
        <v>19</v>
      </c>
      <c r="N102" s="1" t="s">
        <v>78</v>
      </c>
      <c r="O102" s="1" t="s">
        <v>64</v>
      </c>
      <c r="P102" s="1" t="s">
        <v>48</v>
      </c>
      <c r="Q102" s="1" t="s">
        <v>65</v>
      </c>
      <c r="R102" s="1" t="s">
        <v>64</v>
      </c>
      <c r="S102" s="1" t="s">
        <v>79</v>
      </c>
      <c r="T102" s="1" t="s">
        <v>51</v>
      </c>
      <c r="U102" s="1" t="s">
        <v>80</v>
      </c>
      <c r="V102">
        <v>8.33</v>
      </c>
      <c r="W102">
        <v>8.42</v>
      </c>
      <c r="X102">
        <v>8.08</v>
      </c>
      <c r="Y102">
        <v>8.17</v>
      </c>
      <c r="Z102">
        <v>7.92</v>
      </c>
      <c r="AA102">
        <v>8.17</v>
      </c>
      <c r="AB102">
        <v>10</v>
      </c>
      <c r="AC102">
        <v>10</v>
      </c>
      <c r="AD102">
        <v>10</v>
      </c>
      <c r="AE102">
        <v>8.33</v>
      </c>
      <c r="AF102">
        <v>87.42</v>
      </c>
      <c r="AG102">
        <v>10.4</v>
      </c>
      <c r="AH102">
        <v>0</v>
      </c>
      <c r="AI102">
        <v>0</v>
      </c>
      <c r="AJ102" s="1" t="s">
        <v>81</v>
      </c>
      <c r="AK102">
        <v>2</v>
      </c>
      <c r="AL102" s="1" t="s">
        <v>69</v>
      </c>
      <c r="AM102" s="1" t="s">
        <v>64</v>
      </c>
      <c r="AN102" s="1" t="s">
        <v>70</v>
      </c>
      <c r="AO102" s="1" t="s">
        <v>71</v>
      </c>
      <c r="AP102" s="4">
        <f>AVERAGEIF(df_arabica_clean[Country of Origin],df_arabica_clean[[#This Row],[Country of Origin]],df_arabica_clean[Total Cup Points])</f>
        <v>83.39</v>
      </c>
      <c r="AQ102" s="1">
        <f>+COUNTIF(df_arabica_clean[Country of Origin],df_arabica_clean[[#This Row],[Country of Origin]])</f>
        <v>3</v>
      </c>
    </row>
    <row r="103" spans="1:43" hidden="1" x14ac:dyDescent="0.25">
      <c r="A103">
        <v>96</v>
      </c>
      <c r="B103">
        <v>96</v>
      </c>
      <c r="C103" s="1" t="s">
        <v>233</v>
      </c>
      <c r="D103" s="1" t="s">
        <v>692</v>
      </c>
      <c r="E103" s="1" t="s">
        <v>693</v>
      </c>
      <c r="F103" s="1" t="s">
        <v>692</v>
      </c>
      <c r="G103" s="1" t="s">
        <v>43</v>
      </c>
      <c r="H103" s="1">
        <v>1300</v>
      </c>
      <c r="I103" s="1">
        <f>IF(df_arabica_clean[[#This Row],[Altitude]] &lt;= 2500, df_arabica_clean[[#This Row],[Altitude]], ROUND(df_arabica_clean[[#This Row],[Altitude]] / 3.281, 0))</f>
        <v>1300</v>
      </c>
      <c r="J103" s="1" t="str">
        <f>IF(df_arabica_clean[[#This Row],[Altitude]]&gt;2500,"Convertido","Original")</f>
        <v>Original</v>
      </c>
      <c r="K103" s="1" t="s">
        <v>694</v>
      </c>
      <c r="L103" s="1" t="s">
        <v>695</v>
      </c>
      <c r="M103">
        <v>1</v>
      </c>
      <c r="N103" s="1" t="s">
        <v>106</v>
      </c>
      <c r="O103" s="1" t="s">
        <v>47</v>
      </c>
      <c r="P103" s="1" t="s">
        <v>89</v>
      </c>
      <c r="Q103" s="1" t="s">
        <v>49</v>
      </c>
      <c r="R103" s="1" t="s">
        <v>43</v>
      </c>
      <c r="S103" s="1" t="s">
        <v>243</v>
      </c>
      <c r="T103" s="1" t="s">
        <v>51</v>
      </c>
      <c r="U103" s="1" t="s">
        <v>118</v>
      </c>
      <c r="V103">
        <v>7.75</v>
      </c>
      <c r="W103">
        <v>7.67</v>
      </c>
      <c r="X103">
        <v>7.58</v>
      </c>
      <c r="Y103">
        <v>7.75</v>
      </c>
      <c r="Z103">
        <v>7.75</v>
      </c>
      <c r="AA103">
        <v>7.67</v>
      </c>
      <c r="AB103">
        <v>10</v>
      </c>
      <c r="AC103">
        <v>10</v>
      </c>
      <c r="AD103">
        <v>10</v>
      </c>
      <c r="AE103">
        <v>7.75</v>
      </c>
      <c r="AF103">
        <v>83.92</v>
      </c>
      <c r="AG103">
        <v>11.6</v>
      </c>
      <c r="AH103">
        <v>0</v>
      </c>
      <c r="AI103">
        <v>0</v>
      </c>
      <c r="AJ103" s="1" t="s">
        <v>81</v>
      </c>
      <c r="AK103">
        <v>3</v>
      </c>
      <c r="AL103" s="1" t="s">
        <v>54</v>
      </c>
      <c r="AM103" s="1" t="s">
        <v>47</v>
      </c>
      <c r="AN103" s="1" t="s">
        <v>55</v>
      </c>
      <c r="AO103" s="1" t="s">
        <v>56</v>
      </c>
      <c r="AP103" s="4">
        <f>AVERAGEIF(df_arabica_clean[Country of Origin],df_arabica_clean[[#This Row],[Country of Origin]],df_arabica_clean[Total Cup Points])</f>
        <v>82.827499999999986</v>
      </c>
      <c r="AQ103" s="1">
        <f>+COUNTIF(df_arabica_clean[Country of Origin],df_arabica_clean[[#This Row],[Country of Origin]])</f>
        <v>12</v>
      </c>
    </row>
    <row r="104" spans="1:43" hidden="1" x14ac:dyDescent="0.25">
      <c r="A104">
        <v>127</v>
      </c>
      <c r="B104">
        <v>127</v>
      </c>
      <c r="C104" s="1" t="s">
        <v>233</v>
      </c>
      <c r="D104" s="1" t="s">
        <v>799</v>
      </c>
      <c r="E104" s="1" t="s">
        <v>856</v>
      </c>
      <c r="F104" s="1" t="s">
        <v>372</v>
      </c>
      <c r="G104" s="1" t="s">
        <v>799</v>
      </c>
      <c r="H104" s="1">
        <v>1300</v>
      </c>
      <c r="I104" s="1">
        <f>IF(df_arabica_clean[[#This Row],[Altitude]] &lt;= 2500, df_arabica_clean[[#This Row],[Altitude]], ROUND(df_arabica_clean[[#This Row],[Altitude]] / 3.281, 0))</f>
        <v>1300</v>
      </c>
      <c r="J104" s="1" t="str">
        <f>IF(df_arabica_clean[[#This Row],[Altitude]]&gt;2500,"Convertido","Original")</f>
        <v>Original</v>
      </c>
      <c r="K104" s="1" t="s">
        <v>801</v>
      </c>
      <c r="L104" s="1" t="s">
        <v>799</v>
      </c>
      <c r="M104">
        <v>2</v>
      </c>
      <c r="N104" s="1" t="s">
        <v>214</v>
      </c>
      <c r="O104" s="1" t="s">
        <v>240</v>
      </c>
      <c r="P104" s="1" t="s">
        <v>89</v>
      </c>
      <c r="Q104" s="1" t="s">
        <v>802</v>
      </c>
      <c r="R104" s="1" t="s">
        <v>799</v>
      </c>
      <c r="S104" s="1" t="s">
        <v>231</v>
      </c>
      <c r="T104" s="1" t="s">
        <v>51</v>
      </c>
      <c r="U104" s="1" t="s">
        <v>67</v>
      </c>
      <c r="V104">
        <v>7.92</v>
      </c>
      <c r="W104">
        <v>7.92</v>
      </c>
      <c r="X104">
        <v>7.75</v>
      </c>
      <c r="Y104">
        <v>7.33</v>
      </c>
      <c r="Z104">
        <v>7.58</v>
      </c>
      <c r="AA104">
        <v>7.5</v>
      </c>
      <c r="AB104">
        <v>10</v>
      </c>
      <c r="AC104">
        <v>10</v>
      </c>
      <c r="AD104">
        <v>10</v>
      </c>
      <c r="AE104">
        <v>7.33</v>
      </c>
      <c r="AF104">
        <v>83.33</v>
      </c>
      <c r="AG104">
        <v>12.3</v>
      </c>
      <c r="AH104">
        <v>0</v>
      </c>
      <c r="AI104">
        <v>0</v>
      </c>
      <c r="AJ104" s="1" t="s">
        <v>98</v>
      </c>
      <c r="AK104">
        <v>16</v>
      </c>
      <c r="AL104" s="1" t="s">
        <v>803</v>
      </c>
      <c r="AM104" s="1" t="s">
        <v>240</v>
      </c>
      <c r="AN104" s="1" t="s">
        <v>246</v>
      </c>
      <c r="AO104" s="1" t="s">
        <v>247</v>
      </c>
      <c r="AP104" s="1">
        <f>AVERAGEIF(df_arabica_clean[Country of Origin],df_arabica_clean[[#This Row],[Country of Origin]],df_arabica_clean[Total Cup Points])</f>
        <v>82.827499999999986</v>
      </c>
      <c r="AQ104" s="1">
        <f>+COUNTIF(df_arabica_clean[Country of Origin],df_arabica_clean[[#This Row],[Country of Origin]])</f>
        <v>12</v>
      </c>
    </row>
    <row r="105" spans="1:43" hidden="1" x14ac:dyDescent="0.25">
      <c r="A105">
        <v>145</v>
      </c>
      <c r="B105">
        <v>145</v>
      </c>
      <c r="C105" s="1" t="s">
        <v>233</v>
      </c>
      <c r="D105" s="1" t="s">
        <v>799</v>
      </c>
      <c r="E105" s="1" t="s">
        <v>939</v>
      </c>
      <c r="F105" s="1" t="s">
        <v>372</v>
      </c>
      <c r="G105" s="1" t="s">
        <v>799</v>
      </c>
      <c r="H105" s="1">
        <v>1300</v>
      </c>
      <c r="I105" s="1">
        <f>IF(df_arabica_clean[[#This Row],[Altitude]] &lt;= 2500, df_arabica_clean[[#This Row],[Altitude]], ROUND(df_arabica_clean[[#This Row],[Altitude]] / 3.281, 0))</f>
        <v>1300</v>
      </c>
      <c r="J105" s="1" t="str">
        <f>IF(df_arabica_clean[[#This Row],[Altitude]]&gt;2500,"Convertido","Original")</f>
        <v>Original</v>
      </c>
      <c r="K105" s="1" t="s">
        <v>801</v>
      </c>
      <c r="L105" s="1" t="s">
        <v>799</v>
      </c>
      <c r="M105">
        <v>2</v>
      </c>
      <c r="N105" s="1" t="s">
        <v>214</v>
      </c>
      <c r="O105" s="1" t="s">
        <v>240</v>
      </c>
      <c r="P105" s="1" t="s">
        <v>89</v>
      </c>
      <c r="Q105" s="1" t="s">
        <v>802</v>
      </c>
      <c r="R105" s="1" t="s">
        <v>799</v>
      </c>
      <c r="S105" s="1" t="s">
        <v>940</v>
      </c>
      <c r="T105" s="1" t="s">
        <v>51</v>
      </c>
      <c r="U105" s="1" t="s">
        <v>67</v>
      </c>
      <c r="V105">
        <v>7.17</v>
      </c>
      <c r="W105">
        <v>7.92</v>
      </c>
      <c r="X105">
        <v>7.58</v>
      </c>
      <c r="Y105">
        <v>7.5</v>
      </c>
      <c r="Z105">
        <v>7.58</v>
      </c>
      <c r="AA105">
        <v>7.67</v>
      </c>
      <c r="AB105">
        <v>10</v>
      </c>
      <c r="AC105">
        <v>10</v>
      </c>
      <c r="AD105">
        <v>10</v>
      </c>
      <c r="AE105">
        <v>7.42</v>
      </c>
      <c r="AF105">
        <v>82.83</v>
      </c>
      <c r="AG105">
        <v>11.8</v>
      </c>
      <c r="AH105">
        <v>0</v>
      </c>
      <c r="AI105">
        <v>0</v>
      </c>
      <c r="AJ105" s="1" t="s">
        <v>98</v>
      </c>
      <c r="AK105">
        <v>5</v>
      </c>
      <c r="AL105" s="1" t="s">
        <v>803</v>
      </c>
      <c r="AM105" s="1" t="s">
        <v>240</v>
      </c>
      <c r="AN105" s="1" t="s">
        <v>246</v>
      </c>
      <c r="AO105" s="1" t="s">
        <v>247</v>
      </c>
      <c r="AP105" s="1">
        <f>AVERAGEIF(df_arabica_clean[Country of Origin],df_arabica_clean[[#This Row],[Country of Origin]],df_arabica_clean[Total Cup Points])</f>
        <v>82.827499999999986</v>
      </c>
      <c r="AQ105" s="1">
        <f>+COUNTIF(df_arabica_clean[Country of Origin],df_arabica_clean[[#This Row],[Country of Origin]])</f>
        <v>12</v>
      </c>
    </row>
    <row r="106" spans="1:43" hidden="1" x14ac:dyDescent="0.25">
      <c r="A106">
        <v>190</v>
      </c>
      <c r="B106">
        <v>190</v>
      </c>
      <c r="C106" s="1" t="s">
        <v>233</v>
      </c>
      <c r="D106" s="1" t="s">
        <v>799</v>
      </c>
      <c r="E106" s="1" t="s">
        <v>1156</v>
      </c>
      <c r="F106" s="1" t="s">
        <v>372</v>
      </c>
      <c r="G106" s="1" t="s">
        <v>799</v>
      </c>
      <c r="H106" s="1">
        <v>1300</v>
      </c>
      <c r="I106" s="1">
        <f>IF(df_arabica_clean[[#This Row],[Altitude]] &lt;= 2500, df_arabica_clean[[#This Row],[Altitude]], ROUND(df_arabica_clean[[#This Row],[Altitude]] / 3.281, 0))</f>
        <v>1300</v>
      </c>
      <c r="J106" s="1" t="str">
        <f>IF(df_arabica_clean[[#This Row],[Altitude]]&gt;2500,"Convertido","Original")</f>
        <v>Original</v>
      </c>
      <c r="K106" s="1" t="s">
        <v>801</v>
      </c>
      <c r="L106" s="1" t="s">
        <v>799</v>
      </c>
      <c r="M106">
        <v>2</v>
      </c>
      <c r="N106" s="1" t="s">
        <v>214</v>
      </c>
      <c r="O106" s="1" t="s">
        <v>240</v>
      </c>
      <c r="P106" s="1" t="s">
        <v>89</v>
      </c>
      <c r="Q106" s="1" t="s">
        <v>802</v>
      </c>
      <c r="R106" s="1" t="s">
        <v>799</v>
      </c>
      <c r="S106" s="1" t="s">
        <v>79</v>
      </c>
      <c r="T106" s="1" t="s">
        <v>51</v>
      </c>
      <c r="U106" s="1" t="s">
        <v>67</v>
      </c>
      <c r="V106">
        <v>7.33</v>
      </c>
      <c r="W106">
        <v>7.42</v>
      </c>
      <c r="X106">
        <v>7.25</v>
      </c>
      <c r="Y106">
        <v>7.33</v>
      </c>
      <c r="Z106">
        <v>7.5</v>
      </c>
      <c r="AA106">
        <v>7.42</v>
      </c>
      <c r="AB106">
        <v>10</v>
      </c>
      <c r="AC106">
        <v>10</v>
      </c>
      <c r="AD106">
        <v>10</v>
      </c>
      <c r="AE106">
        <v>7.17</v>
      </c>
      <c r="AF106">
        <v>81.42</v>
      </c>
      <c r="AG106">
        <v>11.6</v>
      </c>
      <c r="AH106">
        <v>2</v>
      </c>
      <c r="AI106">
        <v>0</v>
      </c>
      <c r="AJ106" s="1" t="s">
        <v>53</v>
      </c>
      <c r="AK106">
        <v>1</v>
      </c>
      <c r="AL106" s="1" t="s">
        <v>803</v>
      </c>
      <c r="AM106" s="1" t="s">
        <v>240</v>
      </c>
      <c r="AN106" s="1" t="s">
        <v>246</v>
      </c>
      <c r="AO106" s="1" t="s">
        <v>247</v>
      </c>
      <c r="AP106" s="1">
        <f>AVERAGEIF(df_arabica_clean[Country of Origin],df_arabica_clean[[#This Row],[Country of Origin]],df_arabica_clean[Total Cup Points])</f>
        <v>82.827499999999986</v>
      </c>
      <c r="AQ106" s="1">
        <f>+COUNTIF(df_arabica_clean[Country of Origin],df_arabica_clean[[#This Row],[Country of Origin]])</f>
        <v>12</v>
      </c>
    </row>
    <row r="107" spans="1:43" hidden="1" x14ac:dyDescent="0.25">
      <c r="A107">
        <v>17</v>
      </c>
      <c r="B107">
        <v>17</v>
      </c>
      <c r="C107" s="1" t="s">
        <v>57</v>
      </c>
      <c r="D107" s="1" t="s">
        <v>196</v>
      </c>
      <c r="E107" s="1" t="s">
        <v>197</v>
      </c>
      <c r="F107" s="1" t="s">
        <v>198</v>
      </c>
      <c r="G107" s="1" t="s">
        <v>199</v>
      </c>
      <c r="H107" s="1">
        <v>1300</v>
      </c>
      <c r="I107" s="1">
        <f>IF(df_arabica_clean[[#This Row],[Altitude]] &lt;= 2500, df_arabica_clean[[#This Row],[Altitude]], ROUND(df_arabica_clean[[#This Row],[Altitude]] / 3.281, 0))</f>
        <v>1300</v>
      </c>
      <c r="J107" s="1" t="str">
        <f>IF(df_arabica_clean[[#This Row],[Altitude]]&gt;2500,"Convertido","Original")</f>
        <v>Original</v>
      </c>
      <c r="K107" s="1" t="s">
        <v>200</v>
      </c>
      <c r="L107" s="1" t="s">
        <v>201</v>
      </c>
      <c r="M107">
        <v>5</v>
      </c>
      <c r="N107" s="1" t="s">
        <v>202</v>
      </c>
      <c r="O107" s="1" t="s">
        <v>203</v>
      </c>
      <c r="P107" s="1" t="s">
        <v>89</v>
      </c>
      <c r="Q107" s="1" t="s">
        <v>204</v>
      </c>
      <c r="R107" s="1" t="s">
        <v>205</v>
      </c>
      <c r="S107" s="1" t="s">
        <v>66</v>
      </c>
      <c r="T107" s="1" t="s">
        <v>51</v>
      </c>
      <c r="U107" s="1" t="s">
        <v>118</v>
      </c>
      <c r="V107">
        <v>8</v>
      </c>
      <c r="W107">
        <v>8.17</v>
      </c>
      <c r="X107">
        <v>8</v>
      </c>
      <c r="Y107">
        <v>7.92</v>
      </c>
      <c r="Z107">
        <v>7.92</v>
      </c>
      <c r="AA107">
        <v>7.92</v>
      </c>
      <c r="AB107">
        <v>10</v>
      </c>
      <c r="AC107">
        <v>10</v>
      </c>
      <c r="AD107">
        <v>10</v>
      </c>
      <c r="AE107">
        <v>8.17</v>
      </c>
      <c r="AF107">
        <v>86.08</v>
      </c>
      <c r="AG107">
        <v>10.3</v>
      </c>
      <c r="AH107">
        <v>0</v>
      </c>
      <c r="AI107">
        <v>0</v>
      </c>
      <c r="AJ107" s="1" t="s">
        <v>98</v>
      </c>
      <c r="AK107">
        <v>0</v>
      </c>
      <c r="AL107" s="1" t="s">
        <v>206</v>
      </c>
      <c r="AM107" s="1" t="s">
        <v>203</v>
      </c>
      <c r="AN107" s="1" t="s">
        <v>207</v>
      </c>
      <c r="AO107" s="1" t="s">
        <v>208</v>
      </c>
      <c r="AP107" s="1">
        <f>AVERAGEIF(df_arabica_clean[Country of Origin],df_arabica_clean[[#This Row],[Country of Origin]],df_arabica_clean[Total Cup Points])</f>
        <v>84.350327868852446</v>
      </c>
      <c r="AQ107" s="1">
        <f>+COUNTIF(df_arabica_clean[Country of Origin],df_arabica_clean[[#This Row],[Country of Origin]])</f>
        <v>61</v>
      </c>
    </row>
    <row r="108" spans="1:43" x14ac:dyDescent="0.25">
      <c r="A108">
        <v>198</v>
      </c>
      <c r="B108">
        <v>198</v>
      </c>
      <c r="C108" s="1" t="s">
        <v>39</v>
      </c>
      <c r="D108" s="1" t="s">
        <v>1193</v>
      </c>
      <c r="E108" s="1" t="s">
        <v>1194</v>
      </c>
      <c r="F108" s="1" t="s">
        <v>1193</v>
      </c>
      <c r="G108" s="1" t="s">
        <v>43</v>
      </c>
      <c r="H108" s="1">
        <v>1600</v>
      </c>
      <c r="I108" s="1">
        <f>IF(df_arabica_clean[[#This Row],[Altitude]] &lt;= 2500, df_arabica_clean[[#This Row],[Altitude]], ROUND(df_arabica_clean[[#This Row],[Altitude]] / 3.281, 0))</f>
        <v>1600</v>
      </c>
      <c r="J108" s="1" t="str">
        <f>IF(df_arabica_clean[[#This Row],[Altitude]]&gt;2500,"Convertido","Original")</f>
        <v>Original</v>
      </c>
      <c r="K108" s="1" t="s">
        <v>1195</v>
      </c>
      <c r="L108" s="1" t="s">
        <v>1193</v>
      </c>
      <c r="M108">
        <v>3</v>
      </c>
      <c r="N108" s="1" t="s">
        <v>352</v>
      </c>
      <c r="O108" s="1" t="s">
        <v>47</v>
      </c>
      <c r="P108" s="1" t="s">
        <v>89</v>
      </c>
      <c r="Q108" s="1" t="s">
        <v>95</v>
      </c>
      <c r="R108" s="1" t="s">
        <v>43</v>
      </c>
      <c r="S108" s="1" t="s">
        <v>1196</v>
      </c>
      <c r="T108" s="1" t="s">
        <v>51</v>
      </c>
      <c r="U108" s="1" t="s">
        <v>67</v>
      </c>
      <c r="V108">
        <v>7.25</v>
      </c>
      <c r="W108">
        <v>7.25</v>
      </c>
      <c r="X108">
        <v>7.17</v>
      </c>
      <c r="Y108">
        <v>7.33</v>
      </c>
      <c r="Z108">
        <v>7</v>
      </c>
      <c r="AA108">
        <v>7.17</v>
      </c>
      <c r="AB108">
        <v>10</v>
      </c>
      <c r="AC108">
        <v>10</v>
      </c>
      <c r="AD108">
        <v>10</v>
      </c>
      <c r="AE108">
        <v>7.25</v>
      </c>
      <c r="AF108">
        <v>80.42</v>
      </c>
      <c r="AG108">
        <v>11</v>
      </c>
      <c r="AH108">
        <v>0</v>
      </c>
      <c r="AI108">
        <v>3</v>
      </c>
      <c r="AJ108" s="1" t="s">
        <v>125</v>
      </c>
      <c r="AK108">
        <v>3</v>
      </c>
      <c r="AL108" s="1" t="s">
        <v>99</v>
      </c>
      <c r="AM108" s="1" t="s">
        <v>47</v>
      </c>
      <c r="AN108" s="1" t="s">
        <v>55</v>
      </c>
      <c r="AO108" s="1" t="s">
        <v>56</v>
      </c>
      <c r="AP108" s="5">
        <f>AVERAGEIF(df_arabica_clean[Country of Origin],df_arabica_clean[[#This Row],[Country of Origin]],df_arabica_clean[Total Cup Points])</f>
        <v>83.877368421052623</v>
      </c>
      <c r="AQ108" s="1">
        <f>+COUNTIF(df_arabica_clean[Country of Origin],df_arabica_clean[[#This Row],[Country of Origin]])</f>
        <v>19</v>
      </c>
    </row>
    <row r="109" spans="1:43" x14ac:dyDescent="0.25">
      <c r="A109">
        <v>139</v>
      </c>
      <c r="B109">
        <v>139</v>
      </c>
      <c r="C109" s="1" t="s">
        <v>39</v>
      </c>
      <c r="D109" s="1" t="s">
        <v>906</v>
      </c>
      <c r="E109" s="1" t="s">
        <v>907</v>
      </c>
      <c r="F109" s="1" t="s">
        <v>908</v>
      </c>
      <c r="G109" s="1" t="s">
        <v>909</v>
      </c>
      <c r="H109" s="1">
        <v>1650</v>
      </c>
      <c r="I109" s="1">
        <f>IF(df_arabica_clean[[#This Row],[Altitude]] &lt;= 2500, df_arabica_clean[[#This Row],[Altitude]], ROUND(df_arabica_clean[[#This Row],[Altitude]] / 3.281, 0))</f>
        <v>1650</v>
      </c>
      <c r="J109" s="1" t="str">
        <f>IF(df_arabica_clean[[#This Row],[Altitude]]&gt;2500,"Convertido","Original")</f>
        <v>Original</v>
      </c>
      <c r="K109" s="1" t="s">
        <v>910</v>
      </c>
      <c r="L109" s="1" t="s">
        <v>911</v>
      </c>
      <c r="M109">
        <v>600</v>
      </c>
      <c r="N109" s="1" t="s">
        <v>106</v>
      </c>
      <c r="O109" s="1" t="s">
        <v>609</v>
      </c>
      <c r="P109" s="1" t="s">
        <v>134</v>
      </c>
      <c r="Q109" s="1" t="s">
        <v>912</v>
      </c>
      <c r="R109" s="1" t="s">
        <v>913</v>
      </c>
      <c r="S109" s="1" t="s">
        <v>184</v>
      </c>
      <c r="T109" s="1" t="s">
        <v>51</v>
      </c>
      <c r="U109" s="1" t="s">
        <v>67</v>
      </c>
      <c r="V109">
        <v>8</v>
      </c>
      <c r="W109">
        <v>7.67</v>
      </c>
      <c r="X109">
        <v>7.42</v>
      </c>
      <c r="Y109">
        <v>7.58</v>
      </c>
      <c r="Z109">
        <v>7.58</v>
      </c>
      <c r="AA109">
        <v>7.42</v>
      </c>
      <c r="AB109">
        <v>10</v>
      </c>
      <c r="AC109">
        <v>10</v>
      </c>
      <c r="AD109">
        <v>10</v>
      </c>
      <c r="AE109">
        <v>7.33</v>
      </c>
      <c r="AF109">
        <v>83</v>
      </c>
      <c r="AG109">
        <v>13.1</v>
      </c>
      <c r="AH109">
        <v>0</v>
      </c>
      <c r="AI109">
        <v>0</v>
      </c>
      <c r="AJ109" s="1" t="s">
        <v>257</v>
      </c>
      <c r="AK109">
        <v>1</v>
      </c>
      <c r="AL109" s="1" t="s">
        <v>914</v>
      </c>
      <c r="AM109" s="1" t="s">
        <v>609</v>
      </c>
      <c r="AN109" s="1" t="s">
        <v>614</v>
      </c>
      <c r="AO109" s="1" t="s">
        <v>615</v>
      </c>
      <c r="AP109" s="5">
        <f>AVERAGEIF(df_arabica_clean[Country of Origin],df_arabica_clean[[#This Row],[Country of Origin]],df_arabica_clean[Total Cup Points])</f>
        <v>83.877368421052623</v>
      </c>
      <c r="AQ109" s="1">
        <f>+COUNTIF(df_arabica_clean[Country of Origin],df_arabica_clean[[#This Row],[Country of Origin]])</f>
        <v>19</v>
      </c>
    </row>
    <row r="110" spans="1:43" x14ac:dyDescent="0.25">
      <c r="A110">
        <v>114</v>
      </c>
      <c r="B110">
        <v>114</v>
      </c>
      <c r="C110" s="1" t="s">
        <v>39</v>
      </c>
      <c r="D110" s="1" t="s">
        <v>791</v>
      </c>
      <c r="E110" s="1" t="s">
        <v>792</v>
      </c>
      <c r="F110" s="1" t="s">
        <v>793</v>
      </c>
      <c r="G110" s="1" t="s">
        <v>794</v>
      </c>
      <c r="H110" s="1">
        <v>1700</v>
      </c>
      <c r="I110" s="1">
        <f>IF(df_arabica_clean[[#This Row],[Altitude]] &lt;= 2500, df_arabica_clean[[#This Row],[Altitude]], ROUND(df_arabica_clean[[#This Row],[Altitude]] / 3.281, 0))</f>
        <v>1700</v>
      </c>
      <c r="J110" s="1" t="str">
        <f>IF(df_arabica_clean[[#This Row],[Altitude]]&gt;2500,"Convertido","Original")</f>
        <v>Original</v>
      </c>
      <c r="K110" s="1" t="s">
        <v>795</v>
      </c>
      <c r="L110" s="1" t="s">
        <v>791</v>
      </c>
      <c r="M110">
        <v>600</v>
      </c>
      <c r="N110" s="1" t="s">
        <v>106</v>
      </c>
      <c r="O110" s="1" t="s">
        <v>609</v>
      </c>
      <c r="P110" s="1" t="s">
        <v>89</v>
      </c>
      <c r="Q110" s="1" t="s">
        <v>796</v>
      </c>
      <c r="R110" s="1" t="s">
        <v>797</v>
      </c>
      <c r="S110" s="1" t="s">
        <v>184</v>
      </c>
      <c r="T110" s="1" t="s">
        <v>51</v>
      </c>
      <c r="U110" s="1" t="s">
        <v>67</v>
      </c>
      <c r="V110">
        <v>7.75</v>
      </c>
      <c r="W110">
        <v>7.75</v>
      </c>
      <c r="X110">
        <v>7.5</v>
      </c>
      <c r="Y110">
        <v>7.58</v>
      </c>
      <c r="Z110">
        <v>7.83</v>
      </c>
      <c r="AA110">
        <v>7.5</v>
      </c>
      <c r="AB110">
        <v>10</v>
      </c>
      <c r="AC110">
        <v>10</v>
      </c>
      <c r="AD110">
        <v>10</v>
      </c>
      <c r="AE110">
        <v>7.58</v>
      </c>
      <c r="AF110">
        <v>83.5</v>
      </c>
      <c r="AG110">
        <v>12.2</v>
      </c>
      <c r="AH110">
        <v>0</v>
      </c>
      <c r="AI110">
        <v>0</v>
      </c>
      <c r="AJ110" s="1" t="s">
        <v>257</v>
      </c>
      <c r="AK110">
        <v>2</v>
      </c>
      <c r="AL110" s="1" t="s">
        <v>798</v>
      </c>
      <c r="AM110" s="1" t="s">
        <v>609</v>
      </c>
      <c r="AN110" s="1" t="s">
        <v>614</v>
      </c>
      <c r="AO110" s="1" t="s">
        <v>615</v>
      </c>
      <c r="AP110" s="5">
        <f>AVERAGEIF(df_arabica_clean[Country of Origin],df_arabica_clean[[#This Row],[Country of Origin]],df_arabica_clean[Total Cup Points])</f>
        <v>83.877368421052623</v>
      </c>
      <c r="AQ110" s="1">
        <f>+COUNTIF(df_arabica_clean[Country of Origin],df_arabica_clean[[#This Row],[Country of Origin]])</f>
        <v>19</v>
      </c>
    </row>
    <row r="111" spans="1:43" hidden="1" x14ac:dyDescent="0.25">
      <c r="A111">
        <v>106</v>
      </c>
      <c r="B111">
        <v>106</v>
      </c>
      <c r="C111" s="1" t="s">
        <v>57</v>
      </c>
      <c r="D111" s="1" t="s">
        <v>253</v>
      </c>
      <c r="E111" s="1" t="s">
        <v>197</v>
      </c>
      <c r="F111" s="1" t="s">
        <v>198</v>
      </c>
      <c r="G111" s="1" t="s">
        <v>755</v>
      </c>
      <c r="H111" s="1">
        <v>1250</v>
      </c>
      <c r="I111" s="1">
        <f>IF(df_arabica_clean[[#This Row],[Altitude]] &lt;= 2500, df_arabica_clean[[#This Row],[Altitude]], ROUND(df_arabica_clean[[#This Row],[Altitude]] / 3.281, 0))</f>
        <v>1250</v>
      </c>
      <c r="J111" s="1" t="str">
        <f>IF(df_arabica_clean[[#This Row],[Altitude]]&gt;2500,"Convertido","Original")</f>
        <v>Original</v>
      </c>
      <c r="K111" s="1" t="s">
        <v>344</v>
      </c>
      <c r="L111" s="1" t="s">
        <v>255</v>
      </c>
      <c r="M111">
        <v>50</v>
      </c>
      <c r="N111" s="1" t="s">
        <v>202</v>
      </c>
      <c r="O111" s="1" t="s">
        <v>203</v>
      </c>
      <c r="P111" s="1" t="s">
        <v>89</v>
      </c>
      <c r="Q111" s="1" t="s">
        <v>204</v>
      </c>
      <c r="R111" s="1" t="s">
        <v>755</v>
      </c>
      <c r="S111" s="1" t="s">
        <v>124</v>
      </c>
      <c r="T111" s="1" t="s">
        <v>51</v>
      </c>
      <c r="U111" s="1" t="s">
        <v>67</v>
      </c>
      <c r="V111">
        <v>7.67</v>
      </c>
      <c r="W111">
        <v>7.67</v>
      </c>
      <c r="X111">
        <v>7.75</v>
      </c>
      <c r="Y111">
        <v>7.75</v>
      </c>
      <c r="Z111">
        <v>7.5</v>
      </c>
      <c r="AA111">
        <v>7.67</v>
      </c>
      <c r="AB111">
        <v>10</v>
      </c>
      <c r="AC111">
        <v>10</v>
      </c>
      <c r="AD111">
        <v>10</v>
      </c>
      <c r="AE111">
        <v>7.67</v>
      </c>
      <c r="AF111">
        <v>83.67</v>
      </c>
      <c r="AG111">
        <v>10</v>
      </c>
      <c r="AH111">
        <v>0</v>
      </c>
      <c r="AI111">
        <v>0</v>
      </c>
      <c r="AJ111" s="1" t="s">
        <v>257</v>
      </c>
      <c r="AK111">
        <v>0</v>
      </c>
      <c r="AL111" s="1" t="s">
        <v>206</v>
      </c>
      <c r="AM111" s="1" t="s">
        <v>203</v>
      </c>
      <c r="AN111" s="1" t="s">
        <v>207</v>
      </c>
      <c r="AO111" s="1" t="s">
        <v>208</v>
      </c>
      <c r="AP111" s="1">
        <f>AVERAGEIF(df_arabica_clean[Country of Origin],df_arabica_clean[[#This Row],[Country of Origin]],df_arabica_clean[Total Cup Points])</f>
        <v>84.350327868852446</v>
      </c>
      <c r="AQ111" s="1">
        <f>+COUNTIF(df_arabica_clean[Country of Origin],df_arabica_clean[[#This Row],[Country of Origin]])</f>
        <v>61</v>
      </c>
    </row>
    <row r="112" spans="1:43" hidden="1" x14ac:dyDescent="0.25">
      <c r="A112">
        <v>6</v>
      </c>
      <c r="B112">
        <v>6</v>
      </c>
      <c r="C112" s="1" t="s">
        <v>57</v>
      </c>
      <c r="D112" s="1" t="s">
        <v>107</v>
      </c>
      <c r="E112" s="1" t="s">
        <v>108</v>
      </c>
      <c r="F112" s="1" t="s">
        <v>109</v>
      </c>
      <c r="G112" s="1" t="s">
        <v>60</v>
      </c>
      <c r="H112" s="1">
        <v>1250</v>
      </c>
      <c r="I112" s="1">
        <f>IF(df_arabica_clean[[#This Row],[Altitude]] &lt;= 2500, df_arabica_clean[[#This Row],[Altitude]], ROUND(df_arabica_clean[[#This Row],[Altitude]] / 3.281, 0))</f>
        <v>1250</v>
      </c>
      <c r="J112" s="1" t="str">
        <f>IF(df_arabica_clean[[#This Row],[Altitude]]&gt;2500,"Convertido","Original")</f>
        <v>Original</v>
      </c>
      <c r="K112" s="1" t="s">
        <v>61</v>
      </c>
      <c r="L112" s="1" t="s">
        <v>110</v>
      </c>
      <c r="M112">
        <v>1</v>
      </c>
      <c r="N112" s="1" t="s">
        <v>111</v>
      </c>
      <c r="O112" s="1" t="s">
        <v>64</v>
      </c>
      <c r="P112" s="1" t="s">
        <v>48</v>
      </c>
      <c r="Q112" s="1" t="s">
        <v>65</v>
      </c>
      <c r="R112" s="1" t="s">
        <v>64</v>
      </c>
      <c r="S112" s="1" t="s">
        <v>66</v>
      </c>
      <c r="T112" s="1" t="s">
        <v>51</v>
      </c>
      <c r="U112" s="1" t="s">
        <v>67</v>
      </c>
      <c r="V112">
        <v>8.33</v>
      </c>
      <c r="W112">
        <v>8.17</v>
      </c>
      <c r="X112">
        <v>8.08</v>
      </c>
      <c r="Y112">
        <v>8</v>
      </c>
      <c r="Z112">
        <v>7.83</v>
      </c>
      <c r="AA112">
        <v>8.25</v>
      </c>
      <c r="AB112">
        <v>10</v>
      </c>
      <c r="AC112">
        <v>10</v>
      </c>
      <c r="AD112">
        <v>10</v>
      </c>
      <c r="AE112">
        <v>8.25</v>
      </c>
      <c r="AF112">
        <v>86.92</v>
      </c>
      <c r="AG112">
        <v>9.1</v>
      </c>
      <c r="AH112">
        <v>0</v>
      </c>
      <c r="AI112">
        <v>0</v>
      </c>
      <c r="AJ112" s="1" t="s">
        <v>53</v>
      </c>
      <c r="AK112">
        <v>0</v>
      </c>
      <c r="AL112" s="1" t="s">
        <v>69</v>
      </c>
      <c r="AM112" s="1" t="s">
        <v>64</v>
      </c>
      <c r="AN112" s="1" t="s">
        <v>70</v>
      </c>
      <c r="AO112" s="1" t="s">
        <v>71</v>
      </c>
      <c r="AP112" s="4">
        <f>AVERAGEIF(df_arabica_clean[Country of Origin],df_arabica_clean[[#This Row],[Country of Origin]],df_arabica_clean[Total Cup Points])</f>
        <v>84.350327868852446</v>
      </c>
      <c r="AQ112" s="1">
        <f>+COUNTIF(df_arabica_clean[Country of Origin],df_arabica_clean[[#This Row],[Country of Origin]])</f>
        <v>61</v>
      </c>
    </row>
    <row r="113" spans="1:43" hidden="1" x14ac:dyDescent="0.25">
      <c r="A113">
        <v>8</v>
      </c>
      <c r="B113">
        <v>8</v>
      </c>
      <c r="C113" s="1" t="s">
        <v>57</v>
      </c>
      <c r="D113" s="1" t="s">
        <v>120</v>
      </c>
      <c r="E113" s="1" t="s">
        <v>121</v>
      </c>
      <c r="F113" s="1" t="s">
        <v>122</v>
      </c>
      <c r="G113" s="1" t="s">
        <v>60</v>
      </c>
      <c r="H113" s="1">
        <v>1250</v>
      </c>
      <c r="I113" s="1">
        <f>IF(df_arabica_clean[[#This Row],[Altitude]] &lt;= 2500, df_arabica_clean[[#This Row],[Altitude]], ROUND(df_arabica_clean[[#This Row],[Altitude]] / 3.281, 0))</f>
        <v>1250</v>
      </c>
      <c r="J113" s="1" t="str">
        <f>IF(df_arabica_clean[[#This Row],[Altitude]]&gt;2500,"Convertido","Original")</f>
        <v>Original</v>
      </c>
      <c r="K113" s="1" t="s">
        <v>61</v>
      </c>
      <c r="L113" s="1" t="s">
        <v>123</v>
      </c>
      <c r="M113">
        <v>1</v>
      </c>
      <c r="N113" s="1" t="s">
        <v>106</v>
      </c>
      <c r="O113" s="1" t="s">
        <v>64</v>
      </c>
      <c r="P113" s="1" t="s">
        <v>48</v>
      </c>
      <c r="Q113" s="1" t="s">
        <v>65</v>
      </c>
      <c r="R113" s="1" t="s">
        <v>64</v>
      </c>
      <c r="S113" s="1" t="s">
        <v>124</v>
      </c>
      <c r="T113" s="1" t="s">
        <v>51</v>
      </c>
      <c r="U113" s="1" t="s">
        <v>67</v>
      </c>
      <c r="V113">
        <v>8.08</v>
      </c>
      <c r="W113">
        <v>8.08</v>
      </c>
      <c r="X113">
        <v>8.25</v>
      </c>
      <c r="Y113">
        <v>8.08</v>
      </c>
      <c r="Z113">
        <v>7.92</v>
      </c>
      <c r="AA113">
        <v>8</v>
      </c>
      <c r="AB113">
        <v>10</v>
      </c>
      <c r="AC113">
        <v>10</v>
      </c>
      <c r="AD113">
        <v>10</v>
      </c>
      <c r="AE113">
        <v>8.25</v>
      </c>
      <c r="AF113">
        <v>86.67</v>
      </c>
      <c r="AG113">
        <v>10.8</v>
      </c>
      <c r="AH113">
        <v>0</v>
      </c>
      <c r="AI113">
        <v>0</v>
      </c>
      <c r="AJ113" s="1" t="s">
        <v>125</v>
      </c>
      <c r="AK113">
        <v>0</v>
      </c>
      <c r="AL113" s="1" t="s">
        <v>69</v>
      </c>
      <c r="AM113" s="1" t="s">
        <v>64</v>
      </c>
      <c r="AN113" s="1" t="s">
        <v>70</v>
      </c>
      <c r="AO113" s="1" t="s">
        <v>71</v>
      </c>
      <c r="AP113" s="4">
        <f>AVERAGEIF(df_arabica_clean[Country of Origin],df_arabica_clean[[#This Row],[Country of Origin]],df_arabica_clean[Total Cup Points])</f>
        <v>84.350327868852446</v>
      </c>
      <c r="AQ113" s="1">
        <f>+COUNTIF(df_arabica_clean[Country of Origin],df_arabica_clean[[#This Row],[Country of Origin]])</f>
        <v>61</v>
      </c>
    </row>
    <row r="114" spans="1:43" hidden="1" x14ac:dyDescent="0.25">
      <c r="A114">
        <v>65</v>
      </c>
      <c r="B114">
        <v>65</v>
      </c>
      <c r="C114" s="1" t="s">
        <v>57</v>
      </c>
      <c r="D114" s="1" t="s">
        <v>533</v>
      </c>
      <c r="E114" s="1" t="s">
        <v>534</v>
      </c>
      <c r="F114" s="1" t="s">
        <v>533</v>
      </c>
      <c r="G114" s="1" t="s">
        <v>60</v>
      </c>
      <c r="H114" s="1">
        <v>1250</v>
      </c>
      <c r="I114" s="1">
        <f>IF(df_arabica_clean[[#This Row],[Altitude]] &lt;= 2500, df_arabica_clean[[#This Row],[Altitude]], ROUND(df_arabica_clean[[#This Row],[Altitude]] / 3.281, 0))</f>
        <v>1250</v>
      </c>
      <c r="J114" s="1" t="str">
        <f>IF(df_arabica_clean[[#This Row],[Altitude]]&gt;2500,"Convertido","Original")</f>
        <v>Original</v>
      </c>
      <c r="K114" s="1" t="s">
        <v>61</v>
      </c>
      <c r="L114" s="1" t="s">
        <v>535</v>
      </c>
      <c r="M114">
        <v>1</v>
      </c>
      <c r="N114" s="1" t="s">
        <v>63</v>
      </c>
      <c r="O114" s="1" t="s">
        <v>64</v>
      </c>
      <c r="P114" s="1" t="s">
        <v>48</v>
      </c>
      <c r="Q114" s="1" t="s">
        <v>65</v>
      </c>
      <c r="R114" s="1" t="s">
        <v>536</v>
      </c>
      <c r="S114" s="1" t="s">
        <v>66</v>
      </c>
      <c r="T114" s="1" t="s">
        <v>51</v>
      </c>
      <c r="U114" s="1" t="s">
        <v>67</v>
      </c>
      <c r="V114">
        <v>8.08</v>
      </c>
      <c r="W114">
        <v>7.83</v>
      </c>
      <c r="X114">
        <v>7.67</v>
      </c>
      <c r="Y114">
        <v>7.67</v>
      </c>
      <c r="Z114">
        <v>7.67</v>
      </c>
      <c r="AA114">
        <v>7.75</v>
      </c>
      <c r="AB114">
        <v>10</v>
      </c>
      <c r="AC114">
        <v>10</v>
      </c>
      <c r="AD114">
        <v>10</v>
      </c>
      <c r="AE114">
        <v>7.92</v>
      </c>
      <c r="AF114">
        <v>84.58</v>
      </c>
      <c r="AG114">
        <v>11.2</v>
      </c>
      <c r="AH114">
        <v>0</v>
      </c>
      <c r="AI114">
        <v>0</v>
      </c>
      <c r="AJ114" s="1" t="s">
        <v>53</v>
      </c>
      <c r="AK114">
        <v>2</v>
      </c>
      <c r="AL114" s="1" t="s">
        <v>69</v>
      </c>
      <c r="AM114" s="1" t="s">
        <v>64</v>
      </c>
      <c r="AN114" s="1" t="s">
        <v>70</v>
      </c>
      <c r="AO114" s="1" t="s">
        <v>71</v>
      </c>
      <c r="AP114" s="4">
        <f>AVERAGEIF(df_arabica_clean[Country of Origin],df_arabica_clean[[#This Row],[Country of Origin]],df_arabica_clean[Total Cup Points])</f>
        <v>84.350327868852446</v>
      </c>
      <c r="AQ114" s="1">
        <f>+COUNTIF(df_arabica_clean[Country of Origin],df_arabica_clean[[#This Row],[Country of Origin]])</f>
        <v>61</v>
      </c>
    </row>
    <row r="115" spans="1:43" hidden="1" x14ac:dyDescent="0.25">
      <c r="A115">
        <v>79</v>
      </c>
      <c r="B115">
        <v>79</v>
      </c>
      <c r="C115" s="1" t="s">
        <v>429</v>
      </c>
      <c r="D115" s="1" t="s">
        <v>616</v>
      </c>
      <c r="E115" s="1" t="s">
        <v>546</v>
      </c>
      <c r="F115" s="1" t="s">
        <v>616</v>
      </c>
      <c r="G115" s="1" t="s">
        <v>43</v>
      </c>
      <c r="H115" s="1">
        <v>1250</v>
      </c>
      <c r="I115" s="1">
        <f>IF(df_arabica_clean[[#This Row],[Altitude]] &lt;= 2500, df_arabica_clean[[#This Row],[Altitude]], ROUND(df_arabica_clean[[#This Row],[Altitude]] / 3.281, 0))</f>
        <v>1250</v>
      </c>
      <c r="J115" s="1" t="str">
        <f>IF(df_arabica_clean[[#This Row],[Altitude]]&gt;2500,"Convertido","Original")</f>
        <v>Original</v>
      </c>
      <c r="K115" s="1" t="s">
        <v>616</v>
      </c>
      <c r="L115" s="1" t="s">
        <v>616</v>
      </c>
      <c r="M115">
        <v>1</v>
      </c>
      <c r="N115" s="1" t="s">
        <v>132</v>
      </c>
      <c r="O115" s="1" t="s">
        <v>47</v>
      </c>
      <c r="P115" s="1" t="s">
        <v>89</v>
      </c>
      <c r="Q115" s="1" t="s">
        <v>49</v>
      </c>
      <c r="R115" s="1" t="s">
        <v>43</v>
      </c>
      <c r="S115" s="1" t="s">
        <v>617</v>
      </c>
      <c r="T115" s="1" t="s">
        <v>51</v>
      </c>
      <c r="U115" s="1" t="s">
        <v>618</v>
      </c>
      <c r="V115">
        <v>7.67</v>
      </c>
      <c r="W115">
        <v>7.67</v>
      </c>
      <c r="X115">
        <v>7.83</v>
      </c>
      <c r="Y115">
        <v>7.83</v>
      </c>
      <c r="Z115">
        <v>7.67</v>
      </c>
      <c r="AA115">
        <v>7.75</v>
      </c>
      <c r="AB115">
        <v>10</v>
      </c>
      <c r="AC115">
        <v>10</v>
      </c>
      <c r="AD115">
        <v>10</v>
      </c>
      <c r="AE115">
        <v>7.83</v>
      </c>
      <c r="AF115">
        <v>84.25</v>
      </c>
      <c r="AG115">
        <v>11.5</v>
      </c>
      <c r="AH115">
        <v>0</v>
      </c>
      <c r="AI115">
        <v>1</v>
      </c>
      <c r="AJ115" s="1" t="s">
        <v>68</v>
      </c>
      <c r="AK115">
        <v>1</v>
      </c>
      <c r="AL115" s="1" t="s">
        <v>54</v>
      </c>
      <c r="AM115" s="1" t="s">
        <v>47</v>
      </c>
      <c r="AN115" s="1" t="s">
        <v>55</v>
      </c>
      <c r="AO115" s="1" t="s">
        <v>56</v>
      </c>
      <c r="AP115" s="4">
        <f>AVERAGEIF(df_arabica_clean[Country of Origin],df_arabica_clean[[#This Row],[Country of Origin]],df_arabica_clean[Total Cup Points])</f>
        <v>83.693333333333328</v>
      </c>
      <c r="AQ115" s="1">
        <f>+COUNTIF(df_arabica_clean[Country of Origin],df_arabica_clean[[#This Row],[Country of Origin]])</f>
        <v>3</v>
      </c>
    </row>
    <row r="116" spans="1:43" x14ac:dyDescent="0.25">
      <c r="A116">
        <v>0</v>
      </c>
      <c r="B116">
        <v>0</v>
      </c>
      <c r="C116" s="1" t="s">
        <v>39</v>
      </c>
      <c r="D116" s="1" t="s">
        <v>40</v>
      </c>
      <c r="E116" s="1" t="s">
        <v>41</v>
      </c>
      <c r="F116" s="1" t="s">
        <v>40</v>
      </c>
      <c r="G116" s="1" t="s">
        <v>43</v>
      </c>
      <c r="H116" s="1">
        <v>1700</v>
      </c>
      <c r="I116" s="1">
        <f>IF(df_arabica_clean[[#This Row],[Altitude]] &lt;= 2500, df_arabica_clean[[#This Row],[Altitude]], ROUND(df_arabica_clean[[#This Row],[Altitude]] / 3.281, 0))</f>
        <v>1700</v>
      </c>
      <c r="J116" s="1" t="str">
        <f>IF(df_arabica_clean[[#This Row],[Altitude]]&gt;2500,"Convertido","Original")</f>
        <v>Original</v>
      </c>
      <c r="K116" s="1" t="s">
        <v>44</v>
      </c>
      <c r="L116" s="1" t="s">
        <v>45</v>
      </c>
      <c r="M116">
        <v>1</v>
      </c>
      <c r="N116" s="1" t="s">
        <v>46</v>
      </c>
      <c r="O116" s="1" t="s">
        <v>47</v>
      </c>
      <c r="P116" s="1" t="s">
        <v>48</v>
      </c>
      <c r="Q116" s="1" t="s">
        <v>49</v>
      </c>
      <c r="R116" s="1" t="s">
        <v>43</v>
      </c>
      <c r="S116" s="1" t="s">
        <v>50</v>
      </c>
      <c r="T116" s="1" t="s">
        <v>51</v>
      </c>
      <c r="U116" s="1" t="s">
        <v>52</v>
      </c>
      <c r="V116">
        <v>8.58</v>
      </c>
      <c r="W116">
        <v>8.5</v>
      </c>
      <c r="X116">
        <v>8.42</v>
      </c>
      <c r="Y116">
        <v>8.58</v>
      </c>
      <c r="Z116">
        <v>8.25</v>
      </c>
      <c r="AA116">
        <v>8.42</v>
      </c>
      <c r="AB116">
        <v>10</v>
      </c>
      <c r="AC116">
        <v>10</v>
      </c>
      <c r="AD116">
        <v>10</v>
      </c>
      <c r="AE116">
        <v>8.58</v>
      </c>
      <c r="AF116">
        <v>89.33</v>
      </c>
      <c r="AG116">
        <v>11.8</v>
      </c>
      <c r="AH116">
        <v>0</v>
      </c>
      <c r="AI116">
        <v>0</v>
      </c>
      <c r="AJ116" s="1" t="s">
        <v>53</v>
      </c>
      <c r="AK116">
        <v>3</v>
      </c>
      <c r="AL116" s="1" t="s">
        <v>54</v>
      </c>
      <c r="AM116" s="1" t="s">
        <v>47</v>
      </c>
      <c r="AN116" s="1" t="s">
        <v>55</v>
      </c>
      <c r="AO116" s="1" t="s">
        <v>56</v>
      </c>
      <c r="AP116" s="5">
        <f>AVERAGEIF(df_arabica_clean[Country of Origin],df_arabica_clean[[#This Row],[Country of Origin]],df_arabica_clean[Total Cup Points])</f>
        <v>83.877368421052623</v>
      </c>
      <c r="AQ116" s="1">
        <f>+COUNTIF(df_arabica_clean[Country of Origin],df_arabica_clean[[#This Row],[Country of Origin]])</f>
        <v>19</v>
      </c>
    </row>
    <row r="117" spans="1:43" hidden="1" x14ac:dyDescent="0.25">
      <c r="A117">
        <v>12</v>
      </c>
      <c r="B117">
        <v>12</v>
      </c>
      <c r="C117" s="1" t="s">
        <v>57</v>
      </c>
      <c r="D117" s="1" t="s">
        <v>161</v>
      </c>
      <c r="E117" s="1" t="s">
        <v>162</v>
      </c>
      <c r="F117" s="1" t="s">
        <v>163</v>
      </c>
      <c r="G117" s="1" t="s">
        <v>60</v>
      </c>
      <c r="H117" s="1">
        <v>1250</v>
      </c>
      <c r="I117" s="1">
        <f>IF(df_arabica_clean[[#This Row],[Altitude]] &lt;= 2500, df_arabica_clean[[#This Row],[Altitude]], ROUND(df_arabica_clean[[#This Row],[Altitude]] / 3.281, 0))</f>
        <v>1250</v>
      </c>
      <c r="J117" s="1" t="str">
        <f>IF(df_arabica_clean[[#This Row],[Altitude]]&gt;2500,"Convertido","Original")</f>
        <v>Original</v>
      </c>
      <c r="K117" s="1" t="s">
        <v>164</v>
      </c>
      <c r="L117" s="1" t="s">
        <v>165</v>
      </c>
      <c r="M117">
        <v>1</v>
      </c>
      <c r="N117" s="1" t="s">
        <v>132</v>
      </c>
      <c r="O117" s="1" t="s">
        <v>64</v>
      </c>
      <c r="P117" s="1" t="s">
        <v>48</v>
      </c>
      <c r="Q117" s="1" t="s">
        <v>65</v>
      </c>
      <c r="R117" s="1" t="s">
        <v>166</v>
      </c>
      <c r="S117" s="1" t="s">
        <v>66</v>
      </c>
      <c r="T117" s="1" t="s">
        <v>51</v>
      </c>
      <c r="U117" s="1" t="s">
        <v>67</v>
      </c>
      <c r="V117">
        <v>8.08</v>
      </c>
      <c r="W117">
        <v>8</v>
      </c>
      <c r="X117">
        <v>8.08</v>
      </c>
      <c r="Y117">
        <v>8.08</v>
      </c>
      <c r="Z117">
        <v>8</v>
      </c>
      <c r="AA117">
        <v>8</v>
      </c>
      <c r="AB117">
        <v>10</v>
      </c>
      <c r="AC117">
        <v>10</v>
      </c>
      <c r="AD117">
        <v>10</v>
      </c>
      <c r="AE117">
        <v>8</v>
      </c>
      <c r="AF117">
        <v>86.25</v>
      </c>
      <c r="AG117">
        <v>11.9</v>
      </c>
      <c r="AH117">
        <v>0</v>
      </c>
      <c r="AI117">
        <v>0</v>
      </c>
      <c r="AJ117" s="1" t="s">
        <v>53</v>
      </c>
      <c r="AK117">
        <v>0</v>
      </c>
      <c r="AL117" s="1" t="s">
        <v>69</v>
      </c>
      <c r="AM117" s="1" t="s">
        <v>64</v>
      </c>
      <c r="AN117" s="1" t="s">
        <v>70</v>
      </c>
      <c r="AO117" s="1" t="s">
        <v>71</v>
      </c>
      <c r="AP117" s="4">
        <f>AVERAGEIF(df_arabica_clean[Country of Origin],df_arabica_clean[[#This Row],[Country of Origin]],df_arabica_clean[Total Cup Points])</f>
        <v>84.350327868852446</v>
      </c>
      <c r="AQ117" s="1">
        <f>+COUNTIF(df_arabica_clean[Country of Origin],df_arabica_clean[[#This Row],[Country of Origin]])</f>
        <v>61</v>
      </c>
    </row>
    <row r="118" spans="1:43" hidden="1" x14ac:dyDescent="0.25">
      <c r="A118">
        <v>24</v>
      </c>
      <c r="B118">
        <v>24</v>
      </c>
      <c r="C118" s="1" t="s">
        <v>57</v>
      </c>
      <c r="D118" s="1" t="s">
        <v>253</v>
      </c>
      <c r="E118" s="1" t="s">
        <v>254</v>
      </c>
      <c r="F118" s="1" t="s">
        <v>253</v>
      </c>
      <c r="G118" s="1" t="s">
        <v>60</v>
      </c>
      <c r="H118" s="1">
        <v>1250</v>
      </c>
      <c r="I118" s="1">
        <f>IF(df_arabica_clean[[#This Row],[Altitude]] &lt;= 2500, df_arabica_clean[[#This Row],[Altitude]], ROUND(df_arabica_clean[[#This Row],[Altitude]] / 3.281, 0))</f>
        <v>1250</v>
      </c>
      <c r="J118" s="1" t="str">
        <f>IF(df_arabica_clean[[#This Row],[Altitude]]&gt;2500,"Convertido","Original")</f>
        <v>Original</v>
      </c>
      <c r="K118" s="1" t="s">
        <v>164</v>
      </c>
      <c r="L118" s="1" t="s">
        <v>255</v>
      </c>
      <c r="M118">
        <v>4</v>
      </c>
      <c r="N118" s="1" t="s">
        <v>256</v>
      </c>
      <c r="O118" s="1" t="s">
        <v>64</v>
      </c>
      <c r="P118" s="1" t="s">
        <v>48</v>
      </c>
      <c r="Q118" s="1" t="s">
        <v>65</v>
      </c>
      <c r="R118" s="1" t="s">
        <v>64</v>
      </c>
      <c r="S118" s="1" t="s">
        <v>124</v>
      </c>
      <c r="T118" s="1" t="s">
        <v>51</v>
      </c>
      <c r="U118" s="1" t="s">
        <v>67</v>
      </c>
      <c r="V118">
        <v>7.83</v>
      </c>
      <c r="W118">
        <v>8</v>
      </c>
      <c r="X118">
        <v>7.92</v>
      </c>
      <c r="Y118">
        <v>8</v>
      </c>
      <c r="Z118">
        <v>8</v>
      </c>
      <c r="AA118">
        <v>7.92</v>
      </c>
      <c r="AB118">
        <v>10</v>
      </c>
      <c r="AC118">
        <v>10</v>
      </c>
      <c r="AD118">
        <v>10</v>
      </c>
      <c r="AE118">
        <v>7.92</v>
      </c>
      <c r="AF118">
        <v>85.58</v>
      </c>
      <c r="AG118">
        <v>10.6</v>
      </c>
      <c r="AH118">
        <v>0</v>
      </c>
      <c r="AI118">
        <v>0</v>
      </c>
      <c r="AJ118" s="1" t="s">
        <v>257</v>
      </c>
      <c r="AK118">
        <v>0</v>
      </c>
      <c r="AL118" s="1" t="s">
        <v>69</v>
      </c>
      <c r="AM118" s="1" t="s">
        <v>64</v>
      </c>
      <c r="AN118" s="1" t="s">
        <v>70</v>
      </c>
      <c r="AO118" s="1" t="s">
        <v>71</v>
      </c>
      <c r="AP118" s="4">
        <f>AVERAGEIF(df_arabica_clean[Country of Origin],df_arabica_clean[[#This Row],[Country of Origin]],df_arabica_clean[Total Cup Points])</f>
        <v>84.350327868852446</v>
      </c>
      <c r="AQ118" s="1">
        <f>+COUNTIF(df_arabica_clean[Country of Origin],df_arabica_clean[[#This Row],[Country of Origin]])</f>
        <v>61</v>
      </c>
    </row>
    <row r="119" spans="1:43" hidden="1" x14ac:dyDescent="0.25">
      <c r="A119">
        <v>51</v>
      </c>
      <c r="B119">
        <v>51</v>
      </c>
      <c r="C119" s="1" t="s">
        <v>429</v>
      </c>
      <c r="D119" s="1" t="s">
        <v>430</v>
      </c>
      <c r="E119" s="1" t="s">
        <v>431</v>
      </c>
      <c r="F119" s="1" t="s">
        <v>432</v>
      </c>
      <c r="G119" s="1" t="s">
        <v>433</v>
      </c>
      <c r="H119" s="1">
        <v>1200</v>
      </c>
      <c r="I119" s="1">
        <f>IF(df_arabica_clean[[#This Row],[Altitude]] &lt;= 2500, df_arabica_clean[[#This Row],[Altitude]], ROUND(df_arabica_clean[[#This Row],[Altitude]] / 3.281, 0))</f>
        <v>1200</v>
      </c>
      <c r="J119" s="1" t="str">
        <f>IF(df_arabica_clean[[#This Row],[Altitude]]&gt;2500,"Convertido","Original")</f>
        <v>Original</v>
      </c>
      <c r="K119" s="1" t="s">
        <v>434</v>
      </c>
      <c r="L119" s="1" t="s">
        <v>430</v>
      </c>
      <c r="M119">
        <v>320</v>
      </c>
      <c r="N119" s="1" t="s">
        <v>132</v>
      </c>
      <c r="O119" s="1" t="s">
        <v>435</v>
      </c>
      <c r="P119" s="1" t="s">
        <v>89</v>
      </c>
      <c r="Q119" s="1" t="s">
        <v>436</v>
      </c>
      <c r="R119" s="1" t="s">
        <v>437</v>
      </c>
      <c r="S119" s="1" t="s">
        <v>243</v>
      </c>
      <c r="T119" s="1" t="s">
        <v>51</v>
      </c>
      <c r="U119" s="1" t="s">
        <v>42</v>
      </c>
      <c r="V119">
        <v>7.83</v>
      </c>
      <c r="W119">
        <v>7.92</v>
      </c>
      <c r="X119">
        <v>7.75</v>
      </c>
      <c r="Y119">
        <v>7.83</v>
      </c>
      <c r="Z119">
        <v>7.83</v>
      </c>
      <c r="AA119">
        <v>7.83</v>
      </c>
      <c r="AB119">
        <v>10</v>
      </c>
      <c r="AC119">
        <v>10</v>
      </c>
      <c r="AD119">
        <v>10</v>
      </c>
      <c r="AE119">
        <v>7.83</v>
      </c>
      <c r="AF119">
        <v>84.83</v>
      </c>
      <c r="AG119">
        <v>11.9</v>
      </c>
      <c r="AH119">
        <v>0</v>
      </c>
      <c r="AI119">
        <v>3</v>
      </c>
      <c r="AJ119" s="1" t="s">
        <v>257</v>
      </c>
      <c r="AK119">
        <v>2</v>
      </c>
      <c r="AL119" s="1" t="s">
        <v>438</v>
      </c>
      <c r="AM119" s="1" t="s">
        <v>435</v>
      </c>
      <c r="AN119" s="1" t="s">
        <v>439</v>
      </c>
      <c r="AO119" s="1" t="s">
        <v>440</v>
      </c>
      <c r="AP119" s="1">
        <f>AVERAGEIF(df_arabica_clean[Country of Origin],df_arabica_clean[[#This Row],[Country of Origin]],df_arabica_clean[Total Cup Points])</f>
        <v>83.693333333333328</v>
      </c>
      <c r="AQ119" s="1">
        <f>+COUNTIF(df_arabica_clean[Country of Origin],df_arabica_clean[[#This Row],[Country of Origin]])</f>
        <v>3</v>
      </c>
    </row>
    <row r="120" spans="1:43" x14ac:dyDescent="0.25">
      <c r="A120">
        <v>149</v>
      </c>
      <c r="B120">
        <v>149</v>
      </c>
      <c r="C120" s="1" t="s">
        <v>39</v>
      </c>
      <c r="D120" s="1" t="s">
        <v>965</v>
      </c>
      <c r="E120" s="1" t="s">
        <v>966</v>
      </c>
      <c r="F120" s="1" t="s">
        <v>965</v>
      </c>
      <c r="G120" s="1" t="s">
        <v>967</v>
      </c>
      <c r="H120" s="1">
        <v>1700</v>
      </c>
      <c r="I120" s="1">
        <f>IF(df_arabica_clean[[#This Row],[Altitude]] &lt;= 2500, df_arabica_clean[[#This Row],[Altitude]], ROUND(df_arabica_clean[[#This Row],[Altitude]] / 3.281, 0))</f>
        <v>1700</v>
      </c>
      <c r="J120" s="1" t="str">
        <f>IF(df_arabica_clean[[#This Row],[Altitude]]&gt;2500,"Convertido","Original")</f>
        <v>Original</v>
      </c>
      <c r="K120" s="1" t="s">
        <v>681</v>
      </c>
      <c r="L120" s="1" t="s">
        <v>965</v>
      </c>
      <c r="M120">
        <v>250</v>
      </c>
      <c r="N120" s="1" t="s">
        <v>608</v>
      </c>
      <c r="O120" s="1" t="s">
        <v>47</v>
      </c>
      <c r="P120" s="1" t="s">
        <v>89</v>
      </c>
      <c r="Q120" s="1" t="s">
        <v>968</v>
      </c>
      <c r="R120" s="1" t="s">
        <v>969</v>
      </c>
      <c r="S120" s="1" t="s">
        <v>184</v>
      </c>
      <c r="T120" s="1" t="s">
        <v>51</v>
      </c>
      <c r="U120" s="1" t="s">
        <v>67</v>
      </c>
      <c r="V120">
        <v>7.58</v>
      </c>
      <c r="W120">
        <v>7.67</v>
      </c>
      <c r="X120">
        <v>7.58</v>
      </c>
      <c r="Y120">
        <v>7.5</v>
      </c>
      <c r="Z120">
        <v>7.33</v>
      </c>
      <c r="AA120">
        <v>7.5</v>
      </c>
      <c r="AB120">
        <v>10</v>
      </c>
      <c r="AC120">
        <v>10</v>
      </c>
      <c r="AD120">
        <v>10</v>
      </c>
      <c r="AE120">
        <v>7.5</v>
      </c>
      <c r="AF120">
        <v>82.67</v>
      </c>
      <c r="AG120">
        <v>11.8</v>
      </c>
      <c r="AH120">
        <v>0</v>
      </c>
      <c r="AI120">
        <v>1</v>
      </c>
      <c r="AJ120" s="1" t="s">
        <v>53</v>
      </c>
      <c r="AK120">
        <v>2</v>
      </c>
      <c r="AL120" s="1" t="s">
        <v>970</v>
      </c>
      <c r="AM120" s="1" t="s">
        <v>47</v>
      </c>
      <c r="AN120" s="1" t="s">
        <v>55</v>
      </c>
      <c r="AO120" s="1" t="s">
        <v>56</v>
      </c>
      <c r="AP120" s="5">
        <f>AVERAGEIF(df_arabica_clean[Country of Origin],df_arabica_clean[[#This Row],[Country of Origin]],df_arabica_clean[Total Cup Points])</f>
        <v>83.877368421052623</v>
      </c>
      <c r="AQ120" s="1">
        <f>+COUNTIF(df_arabica_clean[Country of Origin],df_arabica_clean[[#This Row],[Country of Origin]])</f>
        <v>19</v>
      </c>
    </row>
    <row r="121" spans="1:43" x14ac:dyDescent="0.25">
      <c r="A121">
        <v>101</v>
      </c>
      <c r="B121">
        <v>101</v>
      </c>
      <c r="C121" s="1" t="s">
        <v>39</v>
      </c>
      <c r="D121" s="1" t="s">
        <v>719</v>
      </c>
      <c r="E121" s="1" t="s">
        <v>720</v>
      </c>
      <c r="F121" s="1" t="s">
        <v>721</v>
      </c>
      <c r="G121" s="1" t="s">
        <v>722</v>
      </c>
      <c r="H121" s="1">
        <v>1700</v>
      </c>
      <c r="I121" s="1">
        <f>IF(df_arabica_clean[[#This Row],[Altitude]] &lt;= 2500, df_arabica_clean[[#This Row],[Altitude]], ROUND(df_arabica_clean[[#This Row],[Altitude]] / 3.281, 0))</f>
        <v>1700</v>
      </c>
      <c r="J121" s="1" t="str">
        <f>IF(df_arabica_clean[[#This Row],[Altitude]]&gt;2500,"Convertido","Original")</f>
        <v>Original</v>
      </c>
      <c r="K121" s="1" t="s">
        <v>723</v>
      </c>
      <c r="L121" s="1" t="s">
        <v>724</v>
      </c>
      <c r="M121">
        <v>285</v>
      </c>
      <c r="N121" s="1" t="s">
        <v>608</v>
      </c>
      <c r="O121" s="1" t="s">
        <v>609</v>
      </c>
      <c r="P121" s="1" t="s">
        <v>134</v>
      </c>
      <c r="Q121" s="1" t="s">
        <v>725</v>
      </c>
      <c r="R121" s="1" t="s">
        <v>726</v>
      </c>
      <c r="S121" s="1" t="s">
        <v>184</v>
      </c>
      <c r="T121" s="1" t="s">
        <v>51</v>
      </c>
      <c r="U121" s="1" t="s">
        <v>67</v>
      </c>
      <c r="V121">
        <v>7.92</v>
      </c>
      <c r="W121">
        <v>7.75</v>
      </c>
      <c r="X121">
        <v>7.42</v>
      </c>
      <c r="Y121">
        <v>7.58</v>
      </c>
      <c r="Z121">
        <v>7.92</v>
      </c>
      <c r="AA121">
        <v>7.67</v>
      </c>
      <c r="AB121">
        <v>10</v>
      </c>
      <c r="AC121">
        <v>10</v>
      </c>
      <c r="AD121">
        <v>10</v>
      </c>
      <c r="AE121">
        <v>7.58</v>
      </c>
      <c r="AF121">
        <v>83.83</v>
      </c>
      <c r="AG121">
        <v>12.1</v>
      </c>
      <c r="AH121">
        <v>2</v>
      </c>
      <c r="AI121">
        <v>5</v>
      </c>
      <c r="AJ121" s="1" t="s">
        <v>53</v>
      </c>
      <c r="AK121">
        <v>5</v>
      </c>
      <c r="AL121" s="1" t="s">
        <v>727</v>
      </c>
      <c r="AM121" s="1" t="s">
        <v>609</v>
      </c>
      <c r="AN121" s="1" t="s">
        <v>614</v>
      </c>
      <c r="AO121" s="1" t="s">
        <v>615</v>
      </c>
      <c r="AP121" s="5">
        <f>AVERAGEIF(df_arabica_clean[Country of Origin],df_arabica_clean[[#This Row],[Country of Origin]],df_arabica_clean[Total Cup Points])</f>
        <v>83.877368421052623</v>
      </c>
      <c r="AQ121" s="1">
        <f>+COUNTIF(df_arabica_clean[Country of Origin],df_arabica_clean[[#This Row],[Country of Origin]])</f>
        <v>19</v>
      </c>
    </row>
    <row r="122" spans="1:43" x14ac:dyDescent="0.25">
      <c r="A122">
        <v>103</v>
      </c>
      <c r="B122">
        <v>103</v>
      </c>
      <c r="C122" s="1" t="s">
        <v>39</v>
      </c>
      <c r="D122" s="1" t="s">
        <v>733</v>
      </c>
      <c r="E122" s="1" t="s">
        <v>734</v>
      </c>
      <c r="F122" s="1" t="s">
        <v>733</v>
      </c>
      <c r="G122" s="1" t="s">
        <v>60</v>
      </c>
      <c r="H122" s="1">
        <v>1800</v>
      </c>
      <c r="I122" s="1">
        <f>IF(df_arabica_clean[[#This Row],[Altitude]] &lt;= 2500, df_arabica_clean[[#This Row],[Altitude]], ROUND(df_arabica_clean[[#This Row],[Altitude]] / 3.281, 0))</f>
        <v>1800</v>
      </c>
      <c r="J122" s="1" t="str">
        <f>IF(df_arabica_clean[[#This Row],[Altitude]]&gt;2500,"Convertido","Original")</f>
        <v>Original</v>
      </c>
      <c r="K122" s="1" t="s">
        <v>735</v>
      </c>
      <c r="L122" s="1" t="s">
        <v>736</v>
      </c>
      <c r="M122">
        <v>40</v>
      </c>
      <c r="N122" s="1" t="s">
        <v>46</v>
      </c>
      <c r="O122" s="1" t="s">
        <v>64</v>
      </c>
      <c r="P122" s="1" t="s">
        <v>89</v>
      </c>
      <c r="Q122" s="1" t="s">
        <v>65</v>
      </c>
      <c r="R122" s="1" t="s">
        <v>183</v>
      </c>
      <c r="S122" s="1" t="s">
        <v>737</v>
      </c>
      <c r="T122" s="1" t="s">
        <v>51</v>
      </c>
      <c r="U122" s="1" t="s">
        <v>188</v>
      </c>
      <c r="V122">
        <v>7.67</v>
      </c>
      <c r="W122">
        <v>7.92</v>
      </c>
      <c r="X122">
        <v>7.67</v>
      </c>
      <c r="Y122">
        <v>7.58</v>
      </c>
      <c r="Z122">
        <v>7.67</v>
      </c>
      <c r="AA122">
        <v>7.67</v>
      </c>
      <c r="AB122">
        <v>10</v>
      </c>
      <c r="AC122">
        <v>10</v>
      </c>
      <c r="AD122">
        <v>10</v>
      </c>
      <c r="AE122">
        <v>7.58</v>
      </c>
      <c r="AF122">
        <v>83.75</v>
      </c>
      <c r="AG122">
        <v>10.6</v>
      </c>
      <c r="AH122">
        <v>0</v>
      </c>
      <c r="AI122">
        <v>0</v>
      </c>
      <c r="AJ122" s="1" t="s">
        <v>125</v>
      </c>
      <c r="AK122">
        <v>1</v>
      </c>
      <c r="AL122" s="1" t="s">
        <v>69</v>
      </c>
      <c r="AM122" s="1" t="s">
        <v>64</v>
      </c>
      <c r="AN122" s="1" t="s">
        <v>70</v>
      </c>
      <c r="AO122" s="1" t="s">
        <v>71</v>
      </c>
      <c r="AP122" s="5">
        <f>AVERAGEIF(df_arabica_clean[Country of Origin],df_arabica_clean[[#This Row],[Country of Origin]],df_arabica_clean[Total Cup Points])</f>
        <v>83.877368421052623</v>
      </c>
      <c r="AQ122" s="1">
        <f>+COUNTIF(df_arabica_clean[Country of Origin],df_arabica_clean[[#This Row],[Country of Origin]])</f>
        <v>19</v>
      </c>
    </row>
    <row r="123" spans="1:43" x14ac:dyDescent="0.25">
      <c r="A123">
        <v>14</v>
      </c>
      <c r="B123">
        <v>14</v>
      </c>
      <c r="C123" s="1" t="s">
        <v>39</v>
      </c>
      <c r="D123" s="1" t="s">
        <v>179</v>
      </c>
      <c r="E123" s="1" t="s">
        <v>180</v>
      </c>
      <c r="F123" s="1" t="s">
        <v>179</v>
      </c>
      <c r="G123" s="1" t="s">
        <v>60</v>
      </c>
      <c r="H123" s="1">
        <v>1850</v>
      </c>
      <c r="I123" s="1">
        <f>IF(df_arabica_clean[[#This Row],[Altitude]] &lt;= 2500, df_arabica_clean[[#This Row],[Altitude]], ROUND(df_arabica_clean[[#This Row],[Altitude]] / 3.281, 0))</f>
        <v>1850</v>
      </c>
      <c r="J123" s="1" t="str">
        <f>IF(df_arabica_clean[[#This Row],[Altitude]]&gt;2500,"Convertido","Original")</f>
        <v>Original</v>
      </c>
      <c r="K123" s="1" t="s">
        <v>181</v>
      </c>
      <c r="L123" s="1" t="s">
        <v>182</v>
      </c>
      <c r="M123">
        <v>70</v>
      </c>
      <c r="N123" s="1" t="s">
        <v>46</v>
      </c>
      <c r="O123" s="1" t="s">
        <v>64</v>
      </c>
      <c r="P123" s="1" t="s">
        <v>48</v>
      </c>
      <c r="Q123" s="1" t="s">
        <v>65</v>
      </c>
      <c r="R123" s="1" t="s">
        <v>183</v>
      </c>
      <c r="S123" s="1" t="s">
        <v>184</v>
      </c>
      <c r="T123" s="1" t="s">
        <v>51</v>
      </c>
      <c r="U123" s="1" t="s">
        <v>67</v>
      </c>
      <c r="V123">
        <v>8.08</v>
      </c>
      <c r="W123">
        <v>8</v>
      </c>
      <c r="X123">
        <v>8.08</v>
      </c>
      <c r="Y123">
        <v>7.92</v>
      </c>
      <c r="Z123">
        <v>8.08</v>
      </c>
      <c r="AA123">
        <v>8</v>
      </c>
      <c r="AB123">
        <v>10</v>
      </c>
      <c r="AC123">
        <v>10</v>
      </c>
      <c r="AD123">
        <v>10</v>
      </c>
      <c r="AE123">
        <v>8</v>
      </c>
      <c r="AF123">
        <v>86.17</v>
      </c>
      <c r="AG123">
        <v>10.6</v>
      </c>
      <c r="AH123">
        <v>0</v>
      </c>
      <c r="AI123">
        <v>0</v>
      </c>
      <c r="AJ123" s="1" t="s">
        <v>53</v>
      </c>
      <c r="AK123">
        <v>0</v>
      </c>
      <c r="AL123" s="1" t="s">
        <v>69</v>
      </c>
      <c r="AM123" s="1" t="s">
        <v>64</v>
      </c>
      <c r="AN123" s="1" t="s">
        <v>70</v>
      </c>
      <c r="AO123" s="1" t="s">
        <v>71</v>
      </c>
      <c r="AP123" s="5">
        <f>AVERAGEIF(df_arabica_clean[Country of Origin],df_arabica_clean[[#This Row],[Country of Origin]],df_arabica_clean[Total Cup Points])</f>
        <v>83.877368421052623</v>
      </c>
      <c r="AQ123" s="1">
        <f>+COUNTIF(df_arabica_clean[Country of Origin],df_arabica_clean[[#This Row],[Country of Origin]])</f>
        <v>19</v>
      </c>
    </row>
    <row r="124" spans="1:43" x14ac:dyDescent="0.25">
      <c r="A124">
        <v>4</v>
      </c>
      <c r="B124">
        <v>4</v>
      </c>
      <c r="C124" s="1" t="s">
        <v>39</v>
      </c>
      <c r="D124" s="1" t="s">
        <v>90</v>
      </c>
      <c r="E124" s="1" t="s">
        <v>91</v>
      </c>
      <c r="F124" s="1" t="s">
        <v>90</v>
      </c>
      <c r="G124" s="1" t="s">
        <v>43</v>
      </c>
      <c r="H124" s="1">
        <v>1850</v>
      </c>
      <c r="I124" s="1">
        <f>IF(df_arabica_clean[[#This Row],[Altitude]] &lt;= 2500, df_arabica_clean[[#This Row],[Altitude]], ROUND(df_arabica_clean[[#This Row],[Altitude]] / 3.281, 0))</f>
        <v>1850</v>
      </c>
      <c r="J124" s="1" t="str">
        <f>IF(df_arabica_clean[[#This Row],[Altitude]]&gt;2500,"Convertido","Original")</f>
        <v>Original</v>
      </c>
      <c r="K124" s="1" t="s">
        <v>92</v>
      </c>
      <c r="L124" s="1" t="s">
        <v>93</v>
      </c>
      <c r="M124">
        <v>2</v>
      </c>
      <c r="N124" s="1" t="s">
        <v>94</v>
      </c>
      <c r="O124" s="1" t="s">
        <v>47</v>
      </c>
      <c r="P124" s="1" t="s">
        <v>89</v>
      </c>
      <c r="Q124" s="1" t="s">
        <v>95</v>
      </c>
      <c r="R124" s="1" t="s">
        <v>43</v>
      </c>
      <c r="S124" s="1" t="s">
        <v>96</v>
      </c>
      <c r="T124" s="1" t="s">
        <v>51</v>
      </c>
      <c r="U124" s="1" t="s">
        <v>97</v>
      </c>
      <c r="V124">
        <v>8.33</v>
      </c>
      <c r="W124">
        <v>8.33</v>
      </c>
      <c r="X124">
        <v>8.08</v>
      </c>
      <c r="Y124">
        <v>8.25</v>
      </c>
      <c r="Z124">
        <v>7.92</v>
      </c>
      <c r="AA124">
        <v>7.92</v>
      </c>
      <c r="AB124">
        <v>10</v>
      </c>
      <c r="AC124">
        <v>10</v>
      </c>
      <c r="AD124">
        <v>10</v>
      </c>
      <c r="AE124">
        <v>8.25</v>
      </c>
      <c r="AF124">
        <v>87.08</v>
      </c>
      <c r="AG124">
        <v>11.6</v>
      </c>
      <c r="AH124">
        <v>0</v>
      </c>
      <c r="AI124">
        <v>2</v>
      </c>
      <c r="AJ124" s="1" t="s">
        <v>98</v>
      </c>
      <c r="AK124">
        <v>2</v>
      </c>
      <c r="AL124" s="1" t="s">
        <v>99</v>
      </c>
      <c r="AM124" s="1" t="s">
        <v>47</v>
      </c>
      <c r="AN124" s="1" t="s">
        <v>55</v>
      </c>
      <c r="AO124" s="1" t="s">
        <v>56</v>
      </c>
      <c r="AP124" s="5">
        <f>AVERAGEIF(df_arabica_clean[Country of Origin],df_arabica_clean[[#This Row],[Country of Origin]],df_arabica_clean[Total Cup Points])</f>
        <v>83.877368421052623</v>
      </c>
      <c r="AQ124" s="1">
        <f>+COUNTIF(df_arabica_clean[Country of Origin],df_arabica_clean[[#This Row],[Country of Origin]])</f>
        <v>19</v>
      </c>
    </row>
    <row r="125" spans="1:43" x14ac:dyDescent="0.25">
      <c r="A125">
        <v>78</v>
      </c>
      <c r="B125">
        <v>78</v>
      </c>
      <c r="C125" s="1" t="s">
        <v>39</v>
      </c>
      <c r="D125" s="1" t="s">
        <v>602</v>
      </c>
      <c r="E125" s="1" t="s">
        <v>603</v>
      </c>
      <c r="F125" s="1" t="s">
        <v>604</v>
      </c>
      <c r="G125" s="1" t="s">
        <v>605</v>
      </c>
      <c r="H125" s="1">
        <v>2100</v>
      </c>
      <c r="I125" s="1">
        <f>IF(df_arabica_clean[[#This Row],[Altitude]] &lt;= 2500, df_arabica_clean[[#This Row],[Altitude]], ROUND(df_arabica_clean[[#This Row],[Altitude]] / 3.281, 0))</f>
        <v>2100</v>
      </c>
      <c r="J125" s="1" t="str">
        <f>IF(df_arabica_clean[[#This Row],[Altitude]]&gt;2500,"Convertido","Original")</f>
        <v>Original</v>
      </c>
      <c r="K125" s="1" t="s">
        <v>606</v>
      </c>
      <c r="L125" s="1" t="s">
        <v>607</v>
      </c>
      <c r="M125">
        <v>275</v>
      </c>
      <c r="N125" s="1" t="s">
        <v>608</v>
      </c>
      <c r="O125" s="1" t="s">
        <v>609</v>
      </c>
      <c r="P125" s="1" t="s">
        <v>48</v>
      </c>
      <c r="Q125" s="1" t="s">
        <v>610</v>
      </c>
      <c r="R125" s="1" t="s">
        <v>611</v>
      </c>
      <c r="S125" s="1" t="s">
        <v>612</v>
      </c>
      <c r="T125" s="1" t="s">
        <v>51</v>
      </c>
      <c r="U125" s="1" t="s">
        <v>67</v>
      </c>
      <c r="V125">
        <v>7.75</v>
      </c>
      <c r="W125">
        <v>7.75</v>
      </c>
      <c r="X125">
        <v>7.75</v>
      </c>
      <c r="Y125">
        <v>7.75</v>
      </c>
      <c r="Z125">
        <v>7.83</v>
      </c>
      <c r="AA125">
        <v>7.67</v>
      </c>
      <c r="AB125">
        <v>10</v>
      </c>
      <c r="AC125">
        <v>10</v>
      </c>
      <c r="AD125">
        <v>10</v>
      </c>
      <c r="AE125">
        <v>7.83</v>
      </c>
      <c r="AF125">
        <v>84.33</v>
      </c>
      <c r="AG125">
        <v>11.6</v>
      </c>
      <c r="AH125">
        <v>0</v>
      </c>
      <c r="AI125">
        <v>0</v>
      </c>
      <c r="AJ125" s="1" t="s">
        <v>53</v>
      </c>
      <c r="AK125">
        <v>1</v>
      </c>
      <c r="AL125" s="1" t="s">
        <v>613</v>
      </c>
      <c r="AM125" s="1" t="s">
        <v>609</v>
      </c>
      <c r="AN125" s="1" t="s">
        <v>614</v>
      </c>
      <c r="AO125" s="1" t="s">
        <v>615</v>
      </c>
      <c r="AP125" s="5">
        <f>AVERAGEIF(df_arabica_clean[Country of Origin],df_arabica_clean[[#This Row],[Country of Origin]],df_arabica_clean[Total Cup Points])</f>
        <v>83.877368421052623</v>
      </c>
      <c r="AQ125" s="1">
        <f>+COUNTIF(df_arabica_clean[Country of Origin],df_arabica_clean[[#This Row],[Country of Origin]])</f>
        <v>19</v>
      </c>
    </row>
    <row r="126" spans="1:43" x14ac:dyDescent="0.25">
      <c r="A126">
        <v>180</v>
      </c>
      <c r="B126">
        <v>180</v>
      </c>
      <c r="C126" s="1" t="s">
        <v>100</v>
      </c>
      <c r="D126" s="1" t="s">
        <v>1104</v>
      </c>
      <c r="E126" s="1" t="s">
        <v>1105</v>
      </c>
      <c r="F126" s="1" t="s">
        <v>1104</v>
      </c>
      <c r="G126" s="1" t="s">
        <v>1106</v>
      </c>
      <c r="H126" s="1">
        <v>1200</v>
      </c>
      <c r="I126" s="1">
        <f>IF(df_arabica_clean[[#This Row],[Altitude]] &lt;= 2500, df_arabica_clean[[#This Row],[Altitude]], ROUND(df_arabica_clean[[#This Row],[Altitude]] / 3.281, 0))</f>
        <v>1200</v>
      </c>
      <c r="J126" s="1" t="str">
        <f>IF(df_arabica_clean[[#This Row],[Altitude]]&gt;2500,"Convertido","Original")</f>
        <v>Original</v>
      </c>
      <c r="K126" s="1" t="s">
        <v>394</v>
      </c>
      <c r="L126" s="1" t="s">
        <v>1107</v>
      </c>
      <c r="M126">
        <v>540</v>
      </c>
      <c r="N126" s="1" t="s">
        <v>106</v>
      </c>
      <c r="O126" s="1" t="s">
        <v>64</v>
      </c>
      <c r="P126" s="1" t="s">
        <v>89</v>
      </c>
      <c r="Q126" s="1" t="s">
        <v>1016</v>
      </c>
      <c r="R126" s="1" t="s">
        <v>1108</v>
      </c>
      <c r="S126" s="1" t="s">
        <v>184</v>
      </c>
      <c r="T126" s="1" t="s">
        <v>51</v>
      </c>
      <c r="U126" s="1" t="s">
        <v>67</v>
      </c>
      <c r="V126">
        <v>7.33</v>
      </c>
      <c r="W126">
        <v>7.42</v>
      </c>
      <c r="X126">
        <v>7.33</v>
      </c>
      <c r="Y126">
        <v>7.42</v>
      </c>
      <c r="Z126">
        <v>7.58</v>
      </c>
      <c r="AA126">
        <v>7.42</v>
      </c>
      <c r="AB126">
        <v>10</v>
      </c>
      <c r="AC126">
        <v>10</v>
      </c>
      <c r="AD126">
        <v>10</v>
      </c>
      <c r="AE126">
        <v>7.42</v>
      </c>
      <c r="AF126">
        <v>81.92</v>
      </c>
      <c r="AG126">
        <v>10.3</v>
      </c>
      <c r="AH126">
        <v>0</v>
      </c>
      <c r="AI126">
        <v>0</v>
      </c>
      <c r="AJ126" s="1" t="s">
        <v>125</v>
      </c>
      <c r="AK126">
        <v>1</v>
      </c>
      <c r="AL126" s="1" t="s">
        <v>1018</v>
      </c>
      <c r="AM126" s="1" t="s">
        <v>64</v>
      </c>
      <c r="AN126" s="1" t="s">
        <v>70</v>
      </c>
      <c r="AO126" s="1" t="s">
        <v>71</v>
      </c>
      <c r="AP126" s="5">
        <f>AVERAGEIF(df_arabica_clean[Country of Origin],df_arabica_clean[[#This Row],[Country of Origin]],df_arabica_clean[Total Cup Points])</f>
        <v>84.301428571428573</v>
      </c>
      <c r="AQ126" s="1">
        <f>+COUNTIF(df_arabica_clean[Country of Origin],df_arabica_clean[[#This Row],[Country of Origin]])</f>
        <v>21</v>
      </c>
    </row>
    <row r="127" spans="1:43" x14ac:dyDescent="0.25">
      <c r="A127">
        <v>122</v>
      </c>
      <c r="B127">
        <v>122</v>
      </c>
      <c r="C127" s="1" t="s">
        <v>100</v>
      </c>
      <c r="D127" s="1" t="s">
        <v>835</v>
      </c>
      <c r="E127" s="1" t="s">
        <v>235</v>
      </c>
      <c r="F127" s="1" t="s">
        <v>836</v>
      </c>
      <c r="G127" s="1" t="s">
        <v>837</v>
      </c>
      <c r="H127" s="1">
        <v>1280</v>
      </c>
      <c r="I127" s="1">
        <f>IF(df_arabica_clean[[#This Row],[Altitude]] &lt;= 2500, df_arabica_clean[[#This Row],[Altitude]], ROUND(df_arabica_clean[[#This Row],[Altitude]] / 3.281, 0))</f>
        <v>1280</v>
      </c>
      <c r="J127" s="1" t="str">
        <f>IF(df_arabica_clean[[#This Row],[Altitude]]&gt;2500,"Convertido","Original")</f>
        <v>Original</v>
      </c>
      <c r="K127" s="1" t="s">
        <v>838</v>
      </c>
      <c r="L127" s="1" t="s">
        <v>839</v>
      </c>
      <c r="M127">
        <v>320</v>
      </c>
      <c r="N127" s="1" t="s">
        <v>132</v>
      </c>
      <c r="O127" s="1" t="s">
        <v>64</v>
      </c>
      <c r="P127" s="1" t="s">
        <v>158</v>
      </c>
      <c r="Q127" s="1" t="s">
        <v>359</v>
      </c>
      <c r="R127" s="1" t="s">
        <v>840</v>
      </c>
      <c r="S127" s="1" t="s">
        <v>841</v>
      </c>
      <c r="T127" s="1" t="s">
        <v>51</v>
      </c>
      <c r="U127" s="1" t="s">
        <v>67</v>
      </c>
      <c r="V127">
        <v>7.5</v>
      </c>
      <c r="W127">
        <v>7.75</v>
      </c>
      <c r="X127">
        <v>7.58</v>
      </c>
      <c r="Y127">
        <v>7.75</v>
      </c>
      <c r="Z127">
        <v>7.67</v>
      </c>
      <c r="AA127">
        <v>7.58</v>
      </c>
      <c r="AB127">
        <v>10</v>
      </c>
      <c r="AC127">
        <v>10</v>
      </c>
      <c r="AD127">
        <v>10</v>
      </c>
      <c r="AE127">
        <v>7.5</v>
      </c>
      <c r="AF127">
        <v>83.33</v>
      </c>
      <c r="AG127">
        <v>11.4</v>
      </c>
      <c r="AH127">
        <v>0</v>
      </c>
      <c r="AI127">
        <v>0</v>
      </c>
      <c r="AJ127" s="1" t="s">
        <v>53</v>
      </c>
      <c r="AK127">
        <v>0</v>
      </c>
      <c r="AL127" s="1" t="s">
        <v>361</v>
      </c>
      <c r="AM127" s="1" t="s">
        <v>64</v>
      </c>
      <c r="AN127" s="1" t="s">
        <v>70</v>
      </c>
      <c r="AO127" s="1" t="s">
        <v>71</v>
      </c>
      <c r="AP127" s="5">
        <f>AVERAGEIF(df_arabica_clean[Country of Origin],df_arabica_clean[[#This Row],[Country of Origin]],df_arabica_clean[Total Cup Points])</f>
        <v>84.301428571428573</v>
      </c>
      <c r="AQ127" s="1">
        <f>+COUNTIF(df_arabica_clean[Country of Origin],df_arabica_clean[[#This Row],[Country of Origin]])</f>
        <v>21</v>
      </c>
    </row>
    <row r="128" spans="1:43" hidden="1" x14ac:dyDescent="0.25">
      <c r="A128">
        <v>151</v>
      </c>
      <c r="B128">
        <v>151</v>
      </c>
      <c r="C128" s="1" t="s">
        <v>233</v>
      </c>
      <c r="D128" s="1" t="s">
        <v>972</v>
      </c>
      <c r="E128" s="1" t="s">
        <v>973</v>
      </c>
      <c r="F128" s="1" t="s">
        <v>261</v>
      </c>
      <c r="G128" s="1" t="s">
        <v>974</v>
      </c>
      <c r="H128" s="1">
        <v>1200</v>
      </c>
      <c r="I128" s="1">
        <f>IF(df_arabica_clean[[#This Row],[Altitude]] &lt;= 2500, df_arabica_clean[[#This Row],[Altitude]], ROUND(df_arabica_clean[[#This Row],[Altitude]] / 3.281, 0))</f>
        <v>1200</v>
      </c>
      <c r="J128" s="1" t="str">
        <f>IF(df_arabica_clean[[#This Row],[Altitude]]&gt;2500,"Convertido","Original")</f>
        <v>Original</v>
      </c>
      <c r="K128" s="1" t="s">
        <v>238</v>
      </c>
      <c r="L128" s="1" t="s">
        <v>975</v>
      </c>
      <c r="M128">
        <v>6</v>
      </c>
      <c r="N128" s="1" t="s">
        <v>256</v>
      </c>
      <c r="O128" s="1" t="s">
        <v>976</v>
      </c>
      <c r="P128" s="1" t="s">
        <v>48</v>
      </c>
      <c r="Q128" s="1" t="s">
        <v>977</v>
      </c>
      <c r="R128" s="1" t="s">
        <v>978</v>
      </c>
      <c r="S128" s="1" t="s">
        <v>979</v>
      </c>
      <c r="T128" s="1" t="s">
        <v>51</v>
      </c>
      <c r="U128" s="1" t="s">
        <v>118</v>
      </c>
      <c r="V128">
        <v>7.5</v>
      </c>
      <c r="W128">
        <v>7.58</v>
      </c>
      <c r="X128">
        <v>7.5</v>
      </c>
      <c r="Y128">
        <v>7.42</v>
      </c>
      <c r="Z128">
        <v>7.5</v>
      </c>
      <c r="AA128">
        <v>7.58</v>
      </c>
      <c r="AB128">
        <v>10</v>
      </c>
      <c r="AC128">
        <v>10</v>
      </c>
      <c r="AD128">
        <v>10</v>
      </c>
      <c r="AE128">
        <v>7.58</v>
      </c>
      <c r="AF128">
        <v>82.67</v>
      </c>
      <c r="AG128">
        <v>11.2</v>
      </c>
      <c r="AH128">
        <v>0</v>
      </c>
      <c r="AI128">
        <v>0</v>
      </c>
      <c r="AJ128" s="1" t="s">
        <v>119</v>
      </c>
      <c r="AK128">
        <v>0</v>
      </c>
      <c r="AL128" s="1" t="s">
        <v>980</v>
      </c>
      <c r="AM128" s="1" t="s">
        <v>976</v>
      </c>
      <c r="AN128" s="1" t="s">
        <v>981</v>
      </c>
      <c r="AO128" s="1" t="s">
        <v>982</v>
      </c>
      <c r="AP128" s="1">
        <f>AVERAGEIF(df_arabica_clean[Country of Origin],df_arabica_clean[[#This Row],[Country of Origin]],df_arabica_clean[Total Cup Points])</f>
        <v>82.827499999999986</v>
      </c>
      <c r="AQ128" s="1">
        <f>+COUNTIF(df_arabica_clean[Country of Origin],df_arabica_clean[[#This Row],[Country of Origin]])</f>
        <v>12</v>
      </c>
    </row>
    <row r="129" spans="1:43" x14ac:dyDescent="0.25">
      <c r="A129">
        <v>74</v>
      </c>
      <c r="B129">
        <v>74</v>
      </c>
      <c r="C129" s="1" t="s">
        <v>100</v>
      </c>
      <c r="D129" s="1" t="s">
        <v>580</v>
      </c>
      <c r="E129" s="1" t="s">
        <v>581</v>
      </c>
      <c r="F129" s="1" t="s">
        <v>42</v>
      </c>
      <c r="G129" s="1" t="s">
        <v>582</v>
      </c>
      <c r="H129" s="1">
        <v>1300</v>
      </c>
      <c r="I129" s="1">
        <f>IF(df_arabica_clean[[#This Row],[Altitude]] &lt;= 2500, df_arabica_clean[[#This Row],[Altitude]], ROUND(df_arabica_clean[[#This Row],[Altitude]] / 3.281, 0))</f>
        <v>1300</v>
      </c>
      <c r="J129" s="1" t="str">
        <f>IF(df_arabica_clean[[#This Row],[Altitude]]&gt;2500,"Convertido","Original")</f>
        <v>Original</v>
      </c>
      <c r="K129" s="1" t="s">
        <v>491</v>
      </c>
      <c r="L129" s="1" t="s">
        <v>583</v>
      </c>
      <c r="M129">
        <v>600</v>
      </c>
      <c r="N129" s="1" t="s">
        <v>106</v>
      </c>
      <c r="O129" s="1" t="s">
        <v>396</v>
      </c>
      <c r="P129" s="1" t="s">
        <v>134</v>
      </c>
      <c r="Q129" s="1" t="s">
        <v>480</v>
      </c>
      <c r="R129" s="1" t="s">
        <v>398</v>
      </c>
      <c r="S129" s="1" t="s">
        <v>137</v>
      </c>
      <c r="T129" s="1" t="s">
        <v>51</v>
      </c>
      <c r="U129" s="1" t="s">
        <v>67</v>
      </c>
      <c r="V129">
        <v>7.67</v>
      </c>
      <c r="W129">
        <v>7.83</v>
      </c>
      <c r="X129">
        <v>7.75</v>
      </c>
      <c r="Y129">
        <v>7.75</v>
      </c>
      <c r="Z129">
        <v>7.83</v>
      </c>
      <c r="AA129">
        <v>7.75</v>
      </c>
      <c r="AB129">
        <v>10</v>
      </c>
      <c r="AC129">
        <v>10</v>
      </c>
      <c r="AD129">
        <v>10</v>
      </c>
      <c r="AE129">
        <v>7.75</v>
      </c>
      <c r="AF129">
        <v>84.33</v>
      </c>
      <c r="AG129">
        <v>9.1999999999999993</v>
      </c>
      <c r="AH129">
        <v>0</v>
      </c>
      <c r="AI129">
        <v>1</v>
      </c>
      <c r="AJ129" s="1" t="s">
        <v>53</v>
      </c>
      <c r="AK129">
        <v>5</v>
      </c>
      <c r="AL129" s="1" t="s">
        <v>482</v>
      </c>
      <c r="AM129" s="1" t="s">
        <v>396</v>
      </c>
      <c r="AN129" s="1" t="s">
        <v>400</v>
      </c>
      <c r="AO129" s="1" t="s">
        <v>401</v>
      </c>
      <c r="AP129" s="5">
        <f>AVERAGEIF(df_arabica_clean[Country of Origin],df_arabica_clean[[#This Row],[Country of Origin]],df_arabica_clean[Total Cup Points])</f>
        <v>84.301428571428573</v>
      </c>
      <c r="AQ129" s="1">
        <f>+COUNTIF(df_arabica_clean[Country of Origin],df_arabica_clean[[#This Row],[Country of Origin]])</f>
        <v>21</v>
      </c>
    </row>
    <row r="130" spans="1:43" hidden="1" x14ac:dyDescent="0.25">
      <c r="A130">
        <v>1</v>
      </c>
      <c r="B130">
        <v>1</v>
      </c>
      <c r="C130" s="1" t="s">
        <v>57</v>
      </c>
      <c r="D130" s="1" t="s">
        <v>58</v>
      </c>
      <c r="E130" s="1" t="s">
        <v>59</v>
      </c>
      <c r="F130" s="1" t="s">
        <v>58</v>
      </c>
      <c r="G130" s="1" t="s">
        <v>60</v>
      </c>
      <c r="H130" s="1">
        <v>1200</v>
      </c>
      <c r="I130" s="1">
        <f>IF(df_arabica_clean[[#This Row],[Altitude]] &lt;= 2500, df_arabica_clean[[#This Row],[Altitude]], ROUND(df_arabica_clean[[#This Row],[Altitude]] / 3.281, 0))</f>
        <v>1200</v>
      </c>
      <c r="J130" s="1" t="str">
        <f>IF(df_arabica_clean[[#This Row],[Altitude]]&gt;2500,"Convertido","Original")</f>
        <v>Original</v>
      </c>
      <c r="K130" s="1" t="s">
        <v>61</v>
      </c>
      <c r="L130" s="1" t="s">
        <v>62</v>
      </c>
      <c r="M130">
        <v>1</v>
      </c>
      <c r="N130" s="1" t="s">
        <v>63</v>
      </c>
      <c r="O130" s="1" t="s">
        <v>64</v>
      </c>
      <c r="P130" s="1" t="s">
        <v>48</v>
      </c>
      <c r="Q130" s="1" t="s">
        <v>65</v>
      </c>
      <c r="R130" s="1" t="s">
        <v>64</v>
      </c>
      <c r="S130" s="1" t="s">
        <v>66</v>
      </c>
      <c r="T130" s="1" t="s">
        <v>51</v>
      </c>
      <c r="U130" s="1" t="s">
        <v>67</v>
      </c>
      <c r="V130">
        <v>8.5</v>
      </c>
      <c r="W130">
        <v>8.5</v>
      </c>
      <c r="X130">
        <v>7.92</v>
      </c>
      <c r="Y130">
        <v>8</v>
      </c>
      <c r="Z130">
        <v>7.92</v>
      </c>
      <c r="AA130">
        <v>8.25</v>
      </c>
      <c r="AB130">
        <v>10</v>
      </c>
      <c r="AC130">
        <v>10</v>
      </c>
      <c r="AD130">
        <v>10</v>
      </c>
      <c r="AE130">
        <v>8.5</v>
      </c>
      <c r="AF130">
        <v>87.58</v>
      </c>
      <c r="AG130">
        <v>10.5</v>
      </c>
      <c r="AH130">
        <v>0</v>
      </c>
      <c r="AI130">
        <v>0</v>
      </c>
      <c r="AJ130" s="1" t="s">
        <v>68</v>
      </c>
      <c r="AK130">
        <v>0</v>
      </c>
      <c r="AL130" s="1" t="s">
        <v>69</v>
      </c>
      <c r="AM130" s="1" t="s">
        <v>64</v>
      </c>
      <c r="AN130" s="1" t="s">
        <v>70</v>
      </c>
      <c r="AO130" s="1" t="s">
        <v>71</v>
      </c>
      <c r="AP130" s="1">
        <f>AVERAGEIF(df_arabica_clean[Country of Origin],df_arabica_clean[[#This Row],[Country of Origin]],df_arabica_clean[Total Cup Points])</f>
        <v>84.350327868852446</v>
      </c>
      <c r="AQ130" s="1">
        <f>+COUNTIF(df_arabica_clean[Country of Origin],df_arabica_clean[[#This Row],[Country of Origin]])</f>
        <v>61</v>
      </c>
    </row>
    <row r="131" spans="1:43" hidden="1" x14ac:dyDescent="0.25">
      <c r="A131">
        <v>7</v>
      </c>
      <c r="B131">
        <v>7</v>
      </c>
      <c r="C131" s="1" t="s">
        <v>57</v>
      </c>
      <c r="D131" s="1" t="s">
        <v>112</v>
      </c>
      <c r="E131" s="1" t="s">
        <v>113</v>
      </c>
      <c r="F131" s="1" t="s">
        <v>114</v>
      </c>
      <c r="G131" s="1" t="s">
        <v>60</v>
      </c>
      <c r="H131" s="1">
        <v>1200</v>
      </c>
      <c r="I131" s="1">
        <f>IF(df_arabica_clean[[#This Row],[Altitude]] &lt;= 2500, df_arabica_clean[[#This Row],[Altitude]], ROUND(df_arabica_clean[[#This Row],[Altitude]] / 3.281, 0))</f>
        <v>1200</v>
      </c>
      <c r="J131" s="1" t="str">
        <f>IF(df_arabica_clean[[#This Row],[Altitude]]&gt;2500,"Convertido","Original")</f>
        <v>Original</v>
      </c>
      <c r="K131" s="1" t="s">
        <v>61</v>
      </c>
      <c r="L131" s="1" t="s">
        <v>115</v>
      </c>
      <c r="M131">
        <v>1</v>
      </c>
      <c r="N131" s="1" t="s">
        <v>116</v>
      </c>
      <c r="O131" s="1" t="s">
        <v>64</v>
      </c>
      <c r="P131" s="1" t="s">
        <v>48</v>
      </c>
      <c r="Q131" s="1" t="s">
        <v>65</v>
      </c>
      <c r="R131" s="1" t="s">
        <v>64</v>
      </c>
      <c r="S131" s="1" t="s">
        <v>117</v>
      </c>
      <c r="T131" s="1" t="s">
        <v>51</v>
      </c>
      <c r="U131" s="1" t="s">
        <v>118</v>
      </c>
      <c r="V131">
        <v>8.25</v>
      </c>
      <c r="W131">
        <v>8.25</v>
      </c>
      <c r="X131">
        <v>8.17</v>
      </c>
      <c r="Y131">
        <v>8</v>
      </c>
      <c r="Z131">
        <v>7.92</v>
      </c>
      <c r="AA131">
        <v>8.08</v>
      </c>
      <c r="AB131">
        <v>10</v>
      </c>
      <c r="AC131">
        <v>10</v>
      </c>
      <c r="AD131">
        <v>10</v>
      </c>
      <c r="AE131">
        <v>8.08</v>
      </c>
      <c r="AF131">
        <v>86.75</v>
      </c>
      <c r="AG131">
        <v>10</v>
      </c>
      <c r="AH131">
        <v>0</v>
      </c>
      <c r="AI131">
        <v>0</v>
      </c>
      <c r="AJ131" s="1" t="s">
        <v>119</v>
      </c>
      <c r="AK131">
        <v>1</v>
      </c>
      <c r="AL131" s="1" t="s">
        <v>69</v>
      </c>
      <c r="AM131" s="1" t="s">
        <v>64</v>
      </c>
      <c r="AN131" s="1" t="s">
        <v>70</v>
      </c>
      <c r="AO131" s="1" t="s">
        <v>71</v>
      </c>
      <c r="AP131" s="1">
        <f>AVERAGEIF(df_arabica_clean[Country of Origin],df_arabica_clean[[#This Row],[Country of Origin]],df_arabica_clean[Total Cup Points])</f>
        <v>84.350327868852446</v>
      </c>
      <c r="AQ131" s="1">
        <f>+COUNTIF(df_arabica_clean[Country of Origin],df_arabica_clean[[#This Row],[Country of Origin]])</f>
        <v>61</v>
      </c>
    </row>
    <row r="132" spans="1:43" hidden="1" x14ac:dyDescent="0.25">
      <c r="A132">
        <v>36</v>
      </c>
      <c r="B132">
        <v>36</v>
      </c>
      <c r="C132" s="1" t="s">
        <v>57</v>
      </c>
      <c r="D132" s="1" t="s">
        <v>327</v>
      </c>
      <c r="E132" s="1" t="s">
        <v>328</v>
      </c>
      <c r="F132" s="1" t="s">
        <v>327</v>
      </c>
      <c r="G132" s="1" t="s">
        <v>60</v>
      </c>
      <c r="H132" s="1">
        <v>1200</v>
      </c>
      <c r="I132" s="1">
        <f>IF(df_arabica_clean[[#This Row],[Altitude]] &lt;= 2500, df_arabica_clean[[#This Row],[Altitude]], ROUND(df_arabica_clean[[#This Row],[Altitude]] / 3.281, 0))</f>
        <v>1200</v>
      </c>
      <c r="J132" s="1" t="str">
        <f>IF(df_arabica_clean[[#This Row],[Altitude]]&gt;2500,"Convertido","Original")</f>
        <v>Original</v>
      </c>
      <c r="K132" s="1" t="s">
        <v>61</v>
      </c>
      <c r="L132" s="1" t="s">
        <v>329</v>
      </c>
      <c r="M132">
        <v>1</v>
      </c>
      <c r="N132" s="1" t="s">
        <v>274</v>
      </c>
      <c r="O132" s="1" t="s">
        <v>64</v>
      </c>
      <c r="P132" s="1" t="s">
        <v>48</v>
      </c>
      <c r="Q132" s="1" t="s">
        <v>65</v>
      </c>
      <c r="R132" s="1" t="s">
        <v>330</v>
      </c>
      <c r="S132" s="1" t="s">
        <v>66</v>
      </c>
      <c r="T132" s="1" t="s">
        <v>51</v>
      </c>
      <c r="U132" s="1" t="s">
        <v>67</v>
      </c>
      <c r="V132">
        <v>8</v>
      </c>
      <c r="W132">
        <v>7.92</v>
      </c>
      <c r="X132">
        <v>7.83</v>
      </c>
      <c r="Y132">
        <v>7.92</v>
      </c>
      <c r="Z132">
        <v>7.83</v>
      </c>
      <c r="AA132">
        <v>7.83</v>
      </c>
      <c r="AB132">
        <v>10</v>
      </c>
      <c r="AC132">
        <v>10</v>
      </c>
      <c r="AD132">
        <v>10</v>
      </c>
      <c r="AE132">
        <v>7.92</v>
      </c>
      <c r="AF132">
        <v>85.25</v>
      </c>
      <c r="AG132">
        <v>9.5</v>
      </c>
      <c r="AH132">
        <v>0</v>
      </c>
      <c r="AI132">
        <v>0</v>
      </c>
      <c r="AJ132" s="1" t="s">
        <v>257</v>
      </c>
      <c r="AK132">
        <v>0</v>
      </c>
      <c r="AL132" s="1" t="s">
        <v>69</v>
      </c>
      <c r="AM132" s="1" t="s">
        <v>64</v>
      </c>
      <c r="AN132" s="1" t="s">
        <v>70</v>
      </c>
      <c r="AO132" s="1" t="s">
        <v>71</v>
      </c>
      <c r="AP132" s="1">
        <f>AVERAGEIF(df_arabica_clean[Country of Origin],df_arabica_clean[[#This Row],[Country of Origin]],df_arabica_clean[Total Cup Points])</f>
        <v>84.350327868852446</v>
      </c>
      <c r="AQ132" s="1">
        <f>+COUNTIF(df_arabica_clean[Country of Origin],df_arabica_clean[[#This Row],[Country of Origin]])</f>
        <v>61</v>
      </c>
    </row>
    <row r="133" spans="1:43" x14ac:dyDescent="0.25">
      <c r="A133">
        <v>177</v>
      </c>
      <c r="B133">
        <v>177</v>
      </c>
      <c r="C133" s="1" t="s">
        <v>100</v>
      </c>
      <c r="D133" s="1" t="s">
        <v>1087</v>
      </c>
      <c r="E133" s="1" t="s">
        <v>1088</v>
      </c>
      <c r="F133" s="1" t="s">
        <v>1089</v>
      </c>
      <c r="G133" s="1" t="s">
        <v>698</v>
      </c>
      <c r="H133" s="1">
        <v>1350</v>
      </c>
      <c r="I133" s="1">
        <f>IF(df_arabica_clean[[#This Row],[Altitude]] &lt;= 2500, df_arabica_clean[[#This Row],[Altitude]], ROUND(df_arabica_clean[[#This Row],[Altitude]] / 3.281, 0))</f>
        <v>1350</v>
      </c>
      <c r="J133" s="1" t="str">
        <f>IF(df_arabica_clean[[#This Row],[Altitude]]&gt;2500,"Convertido","Original")</f>
        <v>Original</v>
      </c>
      <c r="K133" s="1" t="s">
        <v>1090</v>
      </c>
      <c r="L133" s="1" t="s">
        <v>1091</v>
      </c>
      <c r="M133">
        <v>275</v>
      </c>
      <c r="N133" s="1" t="s">
        <v>415</v>
      </c>
      <c r="O133" s="1" t="s">
        <v>47</v>
      </c>
      <c r="P133" s="1" t="s">
        <v>48</v>
      </c>
      <c r="Q133" s="1" t="s">
        <v>1092</v>
      </c>
      <c r="R133" s="1" t="s">
        <v>701</v>
      </c>
      <c r="S133" s="1" t="s">
        <v>42</v>
      </c>
      <c r="T133" s="1" t="s">
        <v>51</v>
      </c>
      <c r="U133" s="1" t="s">
        <v>67</v>
      </c>
      <c r="V133">
        <v>7.42</v>
      </c>
      <c r="W133">
        <v>7.42</v>
      </c>
      <c r="X133">
        <v>7.42</v>
      </c>
      <c r="Y133">
        <v>7.33</v>
      </c>
      <c r="Z133">
        <v>7.5</v>
      </c>
      <c r="AA133">
        <v>7.42</v>
      </c>
      <c r="AB133">
        <v>10</v>
      </c>
      <c r="AC133">
        <v>10</v>
      </c>
      <c r="AD133">
        <v>10</v>
      </c>
      <c r="AE133">
        <v>7.5</v>
      </c>
      <c r="AF133">
        <v>82</v>
      </c>
      <c r="AG133">
        <v>11.5</v>
      </c>
      <c r="AH133">
        <v>0</v>
      </c>
      <c r="AI133">
        <v>1</v>
      </c>
      <c r="AJ133" s="1" t="s">
        <v>68</v>
      </c>
      <c r="AK133">
        <v>2</v>
      </c>
      <c r="AL133" s="1" t="s">
        <v>1093</v>
      </c>
      <c r="AM133" s="1" t="s">
        <v>47</v>
      </c>
      <c r="AN133" s="1" t="s">
        <v>55</v>
      </c>
      <c r="AO133" s="1" t="s">
        <v>56</v>
      </c>
      <c r="AP133" s="5">
        <f>AVERAGEIF(df_arabica_clean[Country of Origin],df_arabica_clean[[#This Row],[Country of Origin]],df_arabica_clean[Total Cup Points])</f>
        <v>84.301428571428573</v>
      </c>
      <c r="AQ133" s="1">
        <f>+COUNTIF(df_arabica_clean[Country of Origin],df_arabica_clean[[#This Row],[Country of Origin]])</f>
        <v>21</v>
      </c>
    </row>
    <row r="134" spans="1:43" hidden="1" x14ac:dyDescent="0.25">
      <c r="A134">
        <v>18</v>
      </c>
      <c r="B134">
        <v>18</v>
      </c>
      <c r="C134" s="1" t="s">
        <v>57</v>
      </c>
      <c r="D134" s="1" t="s">
        <v>209</v>
      </c>
      <c r="E134" s="1" t="s">
        <v>210</v>
      </c>
      <c r="F134" s="1" t="s">
        <v>198</v>
      </c>
      <c r="G134" s="1" t="s">
        <v>211</v>
      </c>
      <c r="H134" s="1">
        <v>1200</v>
      </c>
      <c r="I134" s="1">
        <f>IF(df_arabica_clean[[#This Row],[Altitude]] &lt;= 2500, df_arabica_clean[[#This Row],[Altitude]], ROUND(df_arabica_clean[[#This Row],[Altitude]] / 3.281, 0))</f>
        <v>1200</v>
      </c>
      <c r="J134" s="1" t="str">
        <f>IF(df_arabica_clean[[#This Row],[Altitude]]&gt;2500,"Convertido","Original")</f>
        <v>Original</v>
      </c>
      <c r="K134" s="1" t="s">
        <v>212</v>
      </c>
      <c r="L134" s="1" t="s">
        <v>213</v>
      </c>
      <c r="M134">
        <v>8</v>
      </c>
      <c r="N134" s="1" t="s">
        <v>214</v>
      </c>
      <c r="O134" s="1" t="s">
        <v>203</v>
      </c>
      <c r="P134" s="1" t="s">
        <v>48</v>
      </c>
      <c r="Q134" s="1" t="s">
        <v>204</v>
      </c>
      <c r="R134" s="1" t="s">
        <v>213</v>
      </c>
      <c r="S134" s="1" t="s">
        <v>66</v>
      </c>
      <c r="T134" s="1" t="s">
        <v>51</v>
      </c>
      <c r="U134" s="1" t="s">
        <v>118</v>
      </c>
      <c r="V134">
        <v>8.08</v>
      </c>
      <c r="W134">
        <v>8.17</v>
      </c>
      <c r="X134">
        <v>7.75</v>
      </c>
      <c r="Y134">
        <v>7.92</v>
      </c>
      <c r="Z134">
        <v>7.83</v>
      </c>
      <c r="AA134">
        <v>8</v>
      </c>
      <c r="AB134">
        <v>10</v>
      </c>
      <c r="AC134">
        <v>10</v>
      </c>
      <c r="AD134">
        <v>10</v>
      </c>
      <c r="AE134">
        <v>8.17</v>
      </c>
      <c r="AF134">
        <v>85.92</v>
      </c>
      <c r="AG134">
        <v>11</v>
      </c>
      <c r="AH134">
        <v>0</v>
      </c>
      <c r="AI134">
        <v>0</v>
      </c>
      <c r="AJ134" s="1" t="s">
        <v>160</v>
      </c>
      <c r="AK134">
        <v>1</v>
      </c>
      <c r="AL134" s="1" t="s">
        <v>206</v>
      </c>
      <c r="AM134" s="1" t="s">
        <v>203</v>
      </c>
      <c r="AN134" s="1" t="s">
        <v>207</v>
      </c>
      <c r="AO134" s="1" t="s">
        <v>208</v>
      </c>
      <c r="AP134" s="1">
        <f>AVERAGEIF(df_arabica_clean[Country of Origin],df_arabica_clean[[#This Row],[Country of Origin]],df_arabica_clean[Total Cup Points])</f>
        <v>84.350327868852446</v>
      </c>
      <c r="AQ134" s="1">
        <f>+COUNTIF(df_arabica_clean[Country of Origin],df_arabica_clean[[#This Row],[Country of Origin]])</f>
        <v>61</v>
      </c>
    </row>
    <row r="135" spans="1:43" hidden="1" x14ac:dyDescent="0.25">
      <c r="A135">
        <v>169</v>
      </c>
      <c r="B135">
        <v>169</v>
      </c>
      <c r="C135" s="1" t="s">
        <v>284</v>
      </c>
      <c r="D135" s="1" t="s">
        <v>1057</v>
      </c>
      <c r="E135" s="1" t="s">
        <v>585</v>
      </c>
      <c r="F135" s="1" t="s">
        <v>1057</v>
      </c>
      <c r="G135" s="1" t="s">
        <v>60</v>
      </c>
      <c r="H135" s="1">
        <v>1200</v>
      </c>
      <c r="I135" s="1">
        <f>IF(df_arabica_clean[[#This Row],[Altitude]] &lt;= 2500, df_arabica_clean[[#This Row],[Altitude]], ROUND(df_arabica_clean[[#This Row],[Altitude]] / 3.281, 0))</f>
        <v>1200</v>
      </c>
      <c r="J135" s="1" t="str">
        <f>IF(df_arabica_clean[[#This Row],[Altitude]]&gt;2500,"Convertido","Original")</f>
        <v>Original</v>
      </c>
      <c r="K135" s="1" t="s">
        <v>1058</v>
      </c>
      <c r="L135" s="1" t="s">
        <v>1059</v>
      </c>
      <c r="M135">
        <v>3</v>
      </c>
      <c r="N135" s="1" t="s">
        <v>106</v>
      </c>
      <c r="O135" s="1" t="s">
        <v>64</v>
      </c>
      <c r="P135" s="1" t="s">
        <v>89</v>
      </c>
      <c r="Q135" s="1" t="s">
        <v>453</v>
      </c>
      <c r="R135" s="1" t="s">
        <v>64</v>
      </c>
      <c r="S135" s="1" t="s">
        <v>231</v>
      </c>
      <c r="T135" s="1" t="s">
        <v>51</v>
      </c>
      <c r="U135" s="1" t="s">
        <v>67</v>
      </c>
      <c r="V135">
        <v>7.75</v>
      </c>
      <c r="W135">
        <v>7.42</v>
      </c>
      <c r="X135">
        <v>7.33</v>
      </c>
      <c r="Y135">
        <v>7.5</v>
      </c>
      <c r="Z135">
        <v>7.33</v>
      </c>
      <c r="AA135">
        <v>7.5</v>
      </c>
      <c r="AB135">
        <v>10</v>
      </c>
      <c r="AC135">
        <v>10</v>
      </c>
      <c r="AD135">
        <v>10</v>
      </c>
      <c r="AE135">
        <v>7.33</v>
      </c>
      <c r="AF135">
        <v>82.17</v>
      </c>
      <c r="AG135">
        <v>10.6</v>
      </c>
      <c r="AH135">
        <v>1</v>
      </c>
      <c r="AI135">
        <v>0</v>
      </c>
      <c r="AJ135" s="1" t="s">
        <v>53</v>
      </c>
      <c r="AK135">
        <v>5</v>
      </c>
      <c r="AL135" s="1" t="s">
        <v>455</v>
      </c>
      <c r="AM135" s="1" t="s">
        <v>64</v>
      </c>
      <c r="AN135" s="1" t="s">
        <v>70</v>
      </c>
      <c r="AO135" s="1" t="s">
        <v>71</v>
      </c>
      <c r="AP135" s="4">
        <f>AVERAGEIF(df_arabica_clean[Country of Origin],df_arabica_clean[[#This Row],[Country of Origin]],df_arabica_clean[Total Cup Points])</f>
        <v>83.65</v>
      </c>
      <c r="AQ135" s="1">
        <f>+COUNTIF(df_arabica_clean[Country of Origin],df_arabica_clean[[#This Row],[Country of Origin]])</f>
        <v>5</v>
      </c>
    </row>
    <row r="136" spans="1:43" x14ac:dyDescent="0.25">
      <c r="A136">
        <v>98</v>
      </c>
      <c r="B136">
        <v>98</v>
      </c>
      <c r="C136" s="1" t="s">
        <v>100</v>
      </c>
      <c r="D136" s="1" t="s">
        <v>702</v>
      </c>
      <c r="E136" s="1" t="s">
        <v>703</v>
      </c>
      <c r="F136" s="1" t="s">
        <v>42</v>
      </c>
      <c r="G136" s="1" t="s">
        <v>704</v>
      </c>
      <c r="H136" s="1">
        <v>1400</v>
      </c>
      <c r="I136" s="1">
        <f>IF(df_arabica_clean[[#This Row],[Altitude]] &lt;= 2500, df_arabica_clean[[#This Row],[Altitude]], ROUND(df_arabica_clean[[#This Row],[Altitude]] / 3.281, 0))</f>
        <v>1400</v>
      </c>
      <c r="J136" s="1" t="str">
        <f>IF(df_arabica_clean[[#This Row],[Altitude]]&gt;2500,"Convertido","Original")</f>
        <v>Original</v>
      </c>
      <c r="K136" s="1" t="s">
        <v>705</v>
      </c>
      <c r="L136" s="1" t="s">
        <v>706</v>
      </c>
      <c r="M136">
        <v>600</v>
      </c>
      <c r="N136" s="1" t="s">
        <v>106</v>
      </c>
      <c r="O136" s="1" t="s">
        <v>396</v>
      </c>
      <c r="P136" s="1" t="s">
        <v>48</v>
      </c>
      <c r="Q136" s="1" t="s">
        <v>707</v>
      </c>
      <c r="R136" s="1" t="s">
        <v>417</v>
      </c>
      <c r="S136" s="1" t="s">
        <v>708</v>
      </c>
      <c r="T136" s="1" t="s">
        <v>51</v>
      </c>
      <c r="U136" s="1" t="s">
        <v>118</v>
      </c>
      <c r="V136">
        <v>7.58</v>
      </c>
      <c r="W136">
        <v>7.83</v>
      </c>
      <c r="X136">
        <v>7.67</v>
      </c>
      <c r="Y136">
        <v>7.67</v>
      </c>
      <c r="Z136">
        <v>7.67</v>
      </c>
      <c r="AA136">
        <v>7.67</v>
      </c>
      <c r="AB136">
        <v>10</v>
      </c>
      <c r="AC136">
        <v>10</v>
      </c>
      <c r="AD136">
        <v>10</v>
      </c>
      <c r="AE136">
        <v>7.75</v>
      </c>
      <c r="AF136">
        <v>83.83</v>
      </c>
      <c r="AG136">
        <v>10.8</v>
      </c>
      <c r="AH136">
        <v>0</v>
      </c>
      <c r="AI136">
        <v>0</v>
      </c>
      <c r="AJ136" s="1" t="s">
        <v>53</v>
      </c>
      <c r="AK136">
        <v>4</v>
      </c>
      <c r="AL136" s="1" t="s">
        <v>709</v>
      </c>
      <c r="AM136" s="1" t="s">
        <v>396</v>
      </c>
      <c r="AN136" s="1" t="s">
        <v>400</v>
      </c>
      <c r="AO136" s="1" t="s">
        <v>401</v>
      </c>
      <c r="AP136" s="5">
        <f>AVERAGEIF(df_arabica_clean[Country of Origin],df_arabica_clean[[#This Row],[Country of Origin]],df_arabica_clean[Total Cup Points])</f>
        <v>84.301428571428573</v>
      </c>
      <c r="AQ136" s="1">
        <f>+COUNTIF(df_arabica_clean[Country of Origin],df_arabica_clean[[#This Row],[Country of Origin]])</f>
        <v>21</v>
      </c>
    </row>
    <row r="137" spans="1:43" x14ac:dyDescent="0.25">
      <c r="A137">
        <v>87</v>
      </c>
      <c r="B137">
        <v>87</v>
      </c>
      <c r="C137" s="1" t="s">
        <v>100</v>
      </c>
      <c r="D137" s="1" t="s">
        <v>390</v>
      </c>
      <c r="E137" s="1" t="s">
        <v>646</v>
      </c>
      <c r="F137" s="1" t="s">
        <v>647</v>
      </c>
      <c r="G137" s="1" t="s">
        <v>393</v>
      </c>
      <c r="H137" s="1">
        <v>1500</v>
      </c>
      <c r="I137" s="1">
        <f>IF(df_arabica_clean[[#This Row],[Altitude]] &lt;= 2500, df_arabica_clean[[#This Row],[Altitude]], ROUND(df_arabica_clean[[#This Row],[Altitude]] / 3.281, 0))</f>
        <v>1500</v>
      </c>
      <c r="J137" s="1" t="str">
        <f>IF(df_arabica_clean[[#This Row],[Altitude]]&gt;2500,"Convertido","Original")</f>
        <v>Original</v>
      </c>
      <c r="K137" s="1" t="s">
        <v>648</v>
      </c>
      <c r="L137" s="1" t="s">
        <v>643</v>
      </c>
      <c r="M137">
        <v>200</v>
      </c>
      <c r="N137" s="1" t="s">
        <v>106</v>
      </c>
      <c r="O137" s="1" t="s">
        <v>396</v>
      </c>
      <c r="P137" s="1" t="s">
        <v>134</v>
      </c>
      <c r="Q137" s="1" t="s">
        <v>644</v>
      </c>
      <c r="R137" s="1" t="s">
        <v>398</v>
      </c>
      <c r="S137" s="1" t="s">
        <v>184</v>
      </c>
      <c r="T137" s="1" t="s">
        <v>51</v>
      </c>
      <c r="U137" s="1" t="s">
        <v>67</v>
      </c>
      <c r="V137">
        <v>7.67</v>
      </c>
      <c r="W137">
        <v>7.92</v>
      </c>
      <c r="X137">
        <v>7.67</v>
      </c>
      <c r="Y137">
        <v>7.75</v>
      </c>
      <c r="Z137">
        <v>7.67</v>
      </c>
      <c r="AA137">
        <v>7.58</v>
      </c>
      <c r="AB137">
        <v>10</v>
      </c>
      <c r="AC137">
        <v>10</v>
      </c>
      <c r="AD137">
        <v>10</v>
      </c>
      <c r="AE137">
        <v>7.75</v>
      </c>
      <c r="AF137">
        <v>84</v>
      </c>
      <c r="AG137">
        <v>11</v>
      </c>
      <c r="AH137">
        <v>0</v>
      </c>
      <c r="AI137">
        <v>2</v>
      </c>
      <c r="AJ137" s="1" t="s">
        <v>53</v>
      </c>
      <c r="AK137">
        <v>2</v>
      </c>
      <c r="AL137" s="1" t="s">
        <v>645</v>
      </c>
      <c r="AM137" s="1" t="s">
        <v>396</v>
      </c>
      <c r="AN137" s="1" t="s">
        <v>400</v>
      </c>
      <c r="AO137" s="1" t="s">
        <v>401</v>
      </c>
      <c r="AP137" s="5">
        <f>AVERAGEIF(df_arabica_clean[Country of Origin],df_arabica_clean[[#This Row],[Country of Origin]],df_arabica_clean[Total Cup Points])</f>
        <v>84.301428571428573</v>
      </c>
      <c r="AQ137" s="1">
        <f>+COUNTIF(df_arabica_clean[Country of Origin],df_arabica_clean[[#This Row],[Country of Origin]])</f>
        <v>21</v>
      </c>
    </row>
    <row r="138" spans="1:43" x14ac:dyDescent="0.25">
      <c r="A138">
        <v>86</v>
      </c>
      <c r="B138">
        <v>86</v>
      </c>
      <c r="C138" s="1" t="s">
        <v>100</v>
      </c>
      <c r="D138" s="1" t="s">
        <v>390</v>
      </c>
      <c r="E138" s="1" t="s">
        <v>640</v>
      </c>
      <c r="F138" s="1" t="s">
        <v>641</v>
      </c>
      <c r="G138" s="1" t="s">
        <v>393</v>
      </c>
      <c r="H138" s="1">
        <v>1500</v>
      </c>
      <c r="I138" s="1">
        <f>IF(df_arabica_clean[[#This Row],[Altitude]] &lt;= 2500, df_arabica_clean[[#This Row],[Altitude]], ROUND(df_arabica_clean[[#This Row],[Altitude]] / 3.281, 0))</f>
        <v>1500</v>
      </c>
      <c r="J138" s="1" t="str">
        <f>IF(df_arabica_clean[[#This Row],[Altitude]]&gt;2500,"Convertido","Original")</f>
        <v>Original</v>
      </c>
      <c r="K138" s="1" t="s">
        <v>642</v>
      </c>
      <c r="L138" s="1" t="s">
        <v>643</v>
      </c>
      <c r="M138">
        <v>430</v>
      </c>
      <c r="N138" s="1" t="s">
        <v>106</v>
      </c>
      <c r="O138" s="1" t="s">
        <v>396</v>
      </c>
      <c r="P138" s="1" t="s">
        <v>134</v>
      </c>
      <c r="Q138" s="1" t="s">
        <v>644</v>
      </c>
      <c r="R138" s="1" t="s">
        <v>398</v>
      </c>
      <c r="S138" s="1" t="s">
        <v>184</v>
      </c>
      <c r="T138" s="1" t="s">
        <v>51</v>
      </c>
      <c r="U138" s="1" t="s">
        <v>67</v>
      </c>
      <c r="V138">
        <v>7.67</v>
      </c>
      <c r="W138">
        <v>7.83</v>
      </c>
      <c r="X138">
        <v>7.67</v>
      </c>
      <c r="Y138">
        <v>7.83</v>
      </c>
      <c r="Z138">
        <v>7.75</v>
      </c>
      <c r="AA138">
        <v>7.67</v>
      </c>
      <c r="AB138">
        <v>10</v>
      </c>
      <c r="AC138">
        <v>10</v>
      </c>
      <c r="AD138">
        <v>10</v>
      </c>
      <c r="AE138">
        <v>7.67</v>
      </c>
      <c r="AF138">
        <v>84.08</v>
      </c>
      <c r="AG138">
        <v>11</v>
      </c>
      <c r="AH138">
        <v>0</v>
      </c>
      <c r="AI138">
        <v>1</v>
      </c>
      <c r="AJ138" s="1" t="s">
        <v>53</v>
      </c>
      <c r="AK138">
        <v>2</v>
      </c>
      <c r="AL138" s="1" t="s">
        <v>645</v>
      </c>
      <c r="AM138" s="1" t="s">
        <v>396</v>
      </c>
      <c r="AN138" s="1" t="s">
        <v>400</v>
      </c>
      <c r="AO138" s="1" t="s">
        <v>401</v>
      </c>
      <c r="AP138" s="5">
        <f>AVERAGEIF(df_arabica_clean[Country of Origin],df_arabica_clean[[#This Row],[Country of Origin]],df_arabica_clean[Total Cup Points])</f>
        <v>84.301428571428573</v>
      </c>
      <c r="AQ138" s="1">
        <f>+COUNTIF(df_arabica_clean[Country of Origin],df_arabica_clean[[#This Row],[Country of Origin]])</f>
        <v>21</v>
      </c>
    </row>
    <row r="139" spans="1:43" hidden="1" x14ac:dyDescent="0.25">
      <c r="A139">
        <v>136</v>
      </c>
      <c r="B139">
        <v>136</v>
      </c>
      <c r="C139" s="1" t="s">
        <v>72</v>
      </c>
      <c r="D139" s="1" t="s">
        <v>888</v>
      </c>
      <c r="E139" s="1" t="s">
        <v>889</v>
      </c>
      <c r="F139" s="1" t="s">
        <v>890</v>
      </c>
      <c r="G139" s="1" t="s">
        <v>890</v>
      </c>
      <c r="H139" s="1">
        <v>1200</v>
      </c>
      <c r="I139" s="1">
        <f>IF(df_arabica_clean[[#This Row],[Altitude]] &lt;= 2500, df_arabica_clean[[#This Row],[Altitude]], ROUND(df_arabica_clean[[#This Row],[Altitude]] / 3.281, 0))</f>
        <v>1200</v>
      </c>
      <c r="J139" s="1" t="str">
        <f>IF(df_arabica_clean[[#This Row],[Altitude]]&gt;2500,"Convertido","Original")</f>
        <v>Original</v>
      </c>
      <c r="K139" s="1" t="s">
        <v>891</v>
      </c>
      <c r="L139" s="1" t="s">
        <v>890</v>
      </c>
      <c r="M139">
        <v>26</v>
      </c>
      <c r="N139" s="1" t="s">
        <v>132</v>
      </c>
      <c r="O139" s="1" t="s">
        <v>892</v>
      </c>
      <c r="P139" s="1" t="s">
        <v>89</v>
      </c>
      <c r="Q139" s="1" t="s">
        <v>359</v>
      </c>
      <c r="R139" s="1" t="s">
        <v>890</v>
      </c>
      <c r="S139" s="1" t="s">
        <v>243</v>
      </c>
      <c r="T139" s="1" t="s">
        <v>51</v>
      </c>
      <c r="U139" s="1" t="s">
        <v>118</v>
      </c>
      <c r="V139">
        <v>7.67</v>
      </c>
      <c r="W139">
        <v>7.75</v>
      </c>
      <c r="X139">
        <v>7.33</v>
      </c>
      <c r="Y139">
        <v>7.67</v>
      </c>
      <c r="Z139">
        <v>7.58</v>
      </c>
      <c r="AA139">
        <v>7.5</v>
      </c>
      <c r="AB139">
        <v>10</v>
      </c>
      <c r="AC139">
        <v>10</v>
      </c>
      <c r="AD139">
        <v>10</v>
      </c>
      <c r="AE139">
        <v>7.58</v>
      </c>
      <c r="AF139">
        <v>83.08</v>
      </c>
      <c r="AG139">
        <v>11.8</v>
      </c>
      <c r="AH139">
        <v>0</v>
      </c>
      <c r="AI139">
        <v>0</v>
      </c>
      <c r="AJ139" s="1" t="s">
        <v>160</v>
      </c>
      <c r="AK139">
        <v>7</v>
      </c>
      <c r="AL139" s="1" t="s">
        <v>361</v>
      </c>
      <c r="AM139" s="1" t="s">
        <v>892</v>
      </c>
      <c r="AN139" s="1" t="s">
        <v>893</v>
      </c>
      <c r="AO139" s="1" t="s">
        <v>894</v>
      </c>
      <c r="AP139" s="1">
        <f>AVERAGEIF(df_arabica_clean[Country of Origin],df_arabica_clean[[#This Row],[Country of Origin]],df_arabica_clean[Total Cup Points])</f>
        <v>83.39</v>
      </c>
      <c r="AQ139" s="1">
        <f>+COUNTIF(df_arabica_clean[Country of Origin],df_arabica_clean[[#This Row],[Country of Origin]])</f>
        <v>3</v>
      </c>
    </row>
    <row r="140" spans="1:43" hidden="1" x14ac:dyDescent="0.25">
      <c r="A140">
        <v>115</v>
      </c>
      <c r="B140">
        <v>115</v>
      </c>
      <c r="C140" s="1" t="s">
        <v>233</v>
      </c>
      <c r="D140" s="1" t="s">
        <v>799</v>
      </c>
      <c r="E140" s="1" t="s">
        <v>800</v>
      </c>
      <c r="F140" s="1" t="s">
        <v>372</v>
      </c>
      <c r="G140" s="1" t="s">
        <v>799</v>
      </c>
      <c r="H140" s="1">
        <v>1200</v>
      </c>
      <c r="I140" s="1">
        <f>IF(df_arabica_clean[[#This Row],[Altitude]] &lt;= 2500, df_arabica_clean[[#This Row],[Altitude]], ROUND(df_arabica_clean[[#This Row],[Altitude]] / 3.281, 0))</f>
        <v>1200</v>
      </c>
      <c r="J140" s="1" t="str">
        <f>IF(df_arabica_clean[[#This Row],[Altitude]]&gt;2500,"Convertido","Original")</f>
        <v>Original</v>
      </c>
      <c r="K140" s="1" t="s">
        <v>801</v>
      </c>
      <c r="L140" s="1" t="s">
        <v>799</v>
      </c>
      <c r="M140">
        <v>2</v>
      </c>
      <c r="N140" s="1" t="s">
        <v>214</v>
      </c>
      <c r="O140" s="1" t="s">
        <v>240</v>
      </c>
      <c r="P140" s="1" t="s">
        <v>89</v>
      </c>
      <c r="Q140" s="1" t="s">
        <v>802</v>
      </c>
      <c r="R140" s="1" t="s">
        <v>799</v>
      </c>
      <c r="S140" s="1" t="s">
        <v>137</v>
      </c>
      <c r="T140" s="1" t="s">
        <v>51</v>
      </c>
      <c r="U140" s="1" t="s">
        <v>67</v>
      </c>
      <c r="V140">
        <v>7.42</v>
      </c>
      <c r="W140">
        <v>7.83</v>
      </c>
      <c r="X140">
        <v>7.58</v>
      </c>
      <c r="Y140">
        <v>7.67</v>
      </c>
      <c r="Z140">
        <v>7.67</v>
      </c>
      <c r="AA140">
        <v>7.75</v>
      </c>
      <c r="AB140">
        <v>10</v>
      </c>
      <c r="AC140">
        <v>10</v>
      </c>
      <c r="AD140">
        <v>10</v>
      </c>
      <c r="AE140">
        <v>7.58</v>
      </c>
      <c r="AF140">
        <v>83.5</v>
      </c>
      <c r="AG140">
        <v>13.1</v>
      </c>
      <c r="AH140">
        <v>0</v>
      </c>
      <c r="AI140">
        <v>0</v>
      </c>
      <c r="AJ140" s="1" t="s">
        <v>53</v>
      </c>
      <c r="AK140">
        <v>0</v>
      </c>
      <c r="AL140" s="1" t="s">
        <v>803</v>
      </c>
      <c r="AM140" s="1" t="s">
        <v>240</v>
      </c>
      <c r="AN140" s="1" t="s">
        <v>246</v>
      </c>
      <c r="AO140" s="1" t="s">
        <v>247</v>
      </c>
      <c r="AP140" s="1">
        <f>AVERAGEIF(df_arabica_clean[Country of Origin],df_arabica_clean[[#This Row],[Country of Origin]],df_arabica_clean[Total Cup Points])</f>
        <v>82.827499999999986</v>
      </c>
      <c r="AQ140" s="1">
        <f>+COUNTIF(df_arabica_clean[Country of Origin],df_arabica_clean[[#This Row],[Country of Origin]])</f>
        <v>12</v>
      </c>
    </row>
    <row r="141" spans="1:43" hidden="1" x14ac:dyDescent="0.25">
      <c r="A141">
        <v>150</v>
      </c>
      <c r="B141">
        <v>150</v>
      </c>
      <c r="C141" s="1" t="s">
        <v>233</v>
      </c>
      <c r="D141" s="1" t="s">
        <v>799</v>
      </c>
      <c r="E141" s="1" t="s">
        <v>971</v>
      </c>
      <c r="F141" s="1" t="s">
        <v>372</v>
      </c>
      <c r="G141" s="1" t="s">
        <v>799</v>
      </c>
      <c r="H141" s="1">
        <v>1200</v>
      </c>
      <c r="I141" s="1">
        <f>IF(df_arabica_clean[[#This Row],[Altitude]] &lt;= 2500, df_arabica_clean[[#This Row],[Altitude]], ROUND(df_arabica_clean[[#This Row],[Altitude]] / 3.281, 0))</f>
        <v>1200</v>
      </c>
      <c r="J141" s="1" t="str">
        <f>IF(df_arabica_clean[[#This Row],[Altitude]]&gt;2500,"Convertido","Original")</f>
        <v>Original</v>
      </c>
      <c r="K141" s="1" t="s">
        <v>801</v>
      </c>
      <c r="L141" s="1" t="s">
        <v>799</v>
      </c>
      <c r="M141">
        <v>2</v>
      </c>
      <c r="N141" s="1" t="s">
        <v>214</v>
      </c>
      <c r="O141" s="1" t="s">
        <v>240</v>
      </c>
      <c r="P141" s="1" t="s">
        <v>89</v>
      </c>
      <c r="Q141" s="1" t="s">
        <v>802</v>
      </c>
      <c r="R141" s="1" t="s">
        <v>799</v>
      </c>
      <c r="S141" s="1" t="s">
        <v>184</v>
      </c>
      <c r="T141" s="1" t="s">
        <v>51</v>
      </c>
      <c r="U141" s="1" t="s">
        <v>67</v>
      </c>
      <c r="V141">
        <v>7.33</v>
      </c>
      <c r="W141">
        <v>7.58</v>
      </c>
      <c r="X141">
        <v>7.58</v>
      </c>
      <c r="Y141">
        <v>7.5</v>
      </c>
      <c r="Z141">
        <v>7.67</v>
      </c>
      <c r="AA141">
        <v>7.67</v>
      </c>
      <c r="AB141">
        <v>10</v>
      </c>
      <c r="AC141">
        <v>10</v>
      </c>
      <c r="AD141">
        <v>10</v>
      </c>
      <c r="AE141">
        <v>7.33</v>
      </c>
      <c r="AF141">
        <v>82.67</v>
      </c>
      <c r="AG141">
        <v>13</v>
      </c>
      <c r="AH141">
        <v>1</v>
      </c>
      <c r="AI141">
        <v>0</v>
      </c>
      <c r="AJ141" s="1" t="s">
        <v>125</v>
      </c>
      <c r="AK141">
        <v>0</v>
      </c>
      <c r="AL141" s="1" t="s">
        <v>803</v>
      </c>
      <c r="AM141" s="1" t="s">
        <v>240</v>
      </c>
      <c r="AN141" s="1" t="s">
        <v>246</v>
      </c>
      <c r="AO141" s="1" t="s">
        <v>247</v>
      </c>
      <c r="AP141" s="1">
        <f>AVERAGEIF(df_arabica_clean[Country of Origin],df_arabica_clean[[#This Row],[Country of Origin]],df_arabica_clean[Total Cup Points])</f>
        <v>82.827499999999986</v>
      </c>
      <c r="AQ141" s="1">
        <f>+COUNTIF(df_arabica_clean[Country of Origin],df_arabica_clean[[#This Row],[Country of Origin]])</f>
        <v>12</v>
      </c>
    </row>
    <row r="142" spans="1:43" x14ac:dyDescent="0.25">
      <c r="A142">
        <v>112</v>
      </c>
      <c r="B142">
        <v>112</v>
      </c>
      <c r="C142" s="1" t="s">
        <v>100</v>
      </c>
      <c r="D142" s="1" t="s">
        <v>777</v>
      </c>
      <c r="E142" s="1" t="s">
        <v>778</v>
      </c>
      <c r="F142" s="1" t="s">
        <v>779</v>
      </c>
      <c r="G142" s="1" t="s">
        <v>712</v>
      </c>
      <c r="H142" s="1">
        <v>1600</v>
      </c>
      <c r="I142" s="1">
        <f>IF(df_arabica_clean[[#This Row],[Altitude]] &lt;= 2500, df_arabica_clean[[#This Row],[Altitude]], ROUND(df_arabica_clean[[#This Row],[Altitude]] / 3.281, 0))</f>
        <v>1600</v>
      </c>
      <c r="J142" s="1" t="str">
        <f>IF(df_arabica_clean[[#This Row],[Altitude]]&gt;2500,"Convertido","Original")</f>
        <v>Original</v>
      </c>
      <c r="K142" s="1" t="s">
        <v>780</v>
      </c>
      <c r="L142" s="1" t="s">
        <v>777</v>
      </c>
      <c r="M142">
        <v>275</v>
      </c>
      <c r="N142" s="1" t="s">
        <v>415</v>
      </c>
      <c r="O142" s="1" t="s">
        <v>396</v>
      </c>
      <c r="P142" s="1" t="s">
        <v>48</v>
      </c>
      <c r="Q142" s="1" t="s">
        <v>500</v>
      </c>
      <c r="R142" s="1" t="s">
        <v>417</v>
      </c>
      <c r="S142" s="1" t="s">
        <v>184</v>
      </c>
      <c r="T142" s="1" t="s">
        <v>51</v>
      </c>
      <c r="U142" s="1" t="s">
        <v>67</v>
      </c>
      <c r="V142">
        <v>7.58</v>
      </c>
      <c r="W142">
        <v>7.83</v>
      </c>
      <c r="X142">
        <v>7.58</v>
      </c>
      <c r="Y142">
        <v>7.67</v>
      </c>
      <c r="Z142">
        <v>7.58</v>
      </c>
      <c r="AA142">
        <v>7.58</v>
      </c>
      <c r="AB142">
        <v>10</v>
      </c>
      <c r="AC142">
        <v>10</v>
      </c>
      <c r="AD142">
        <v>10</v>
      </c>
      <c r="AE142">
        <v>7.75</v>
      </c>
      <c r="AF142">
        <v>83.58</v>
      </c>
      <c r="AG142">
        <v>10.9</v>
      </c>
      <c r="AH142">
        <v>0</v>
      </c>
      <c r="AI142">
        <v>2</v>
      </c>
      <c r="AJ142" s="1" t="s">
        <v>53</v>
      </c>
      <c r="AK142">
        <v>4</v>
      </c>
      <c r="AL142" s="1" t="s">
        <v>501</v>
      </c>
      <c r="AM142" s="1" t="s">
        <v>396</v>
      </c>
      <c r="AN142" s="1" t="s">
        <v>400</v>
      </c>
      <c r="AO142" s="1" t="s">
        <v>401</v>
      </c>
      <c r="AP142" s="5">
        <f>AVERAGEIF(df_arabica_clean[Country of Origin],df_arabica_clean[[#This Row],[Country of Origin]],df_arabica_clean[Total Cup Points])</f>
        <v>84.301428571428573</v>
      </c>
      <c r="AQ142" s="1">
        <f>+COUNTIF(df_arabica_clean[Country of Origin],df_arabica_clean[[#This Row],[Country of Origin]])</f>
        <v>21</v>
      </c>
    </row>
    <row r="143" spans="1:43" hidden="1" x14ac:dyDescent="0.25">
      <c r="A143">
        <v>143</v>
      </c>
      <c r="B143">
        <v>143</v>
      </c>
      <c r="C143" s="1" t="s">
        <v>57</v>
      </c>
      <c r="D143" s="1" t="s">
        <v>276</v>
      </c>
      <c r="E143" s="1" t="s">
        <v>197</v>
      </c>
      <c r="F143" s="1" t="s">
        <v>198</v>
      </c>
      <c r="G143" s="1" t="s">
        <v>211</v>
      </c>
      <c r="H143" s="1">
        <v>1200</v>
      </c>
      <c r="I143" s="1">
        <f>IF(df_arabica_clean[[#This Row],[Altitude]] &lt;= 2500, df_arabica_clean[[#This Row],[Altitude]], ROUND(df_arabica_clean[[#This Row],[Altitude]] / 3.281, 0))</f>
        <v>1200</v>
      </c>
      <c r="J143" s="1" t="str">
        <f>IF(df_arabica_clean[[#This Row],[Altitude]]&gt;2500,"Convertido","Original")</f>
        <v>Original</v>
      </c>
      <c r="K143" s="1" t="s">
        <v>200</v>
      </c>
      <c r="L143" s="1" t="s">
        <v>931</v>
      </c>
      <c r="M143">
        <v>300</v>
      </c>
      <c r="N143" s="1" t="s">
        <v>214</v>
      </c>
      <c r="O143" s="1" t="s">
        <v>203</v>
      </c>
      <c r="P143" s="1" t="s">
        <v>89</v>
      </c>
      <c r="Q143" s="1" t="s">
        <v>204</v>
      </c>
      <c r="R143" s="1" t="s">
        <v>932</v>
      </c>
      <c r="S143" s="1" t="s">
        <v>66</v>
      </c>
      <c r="T143" s="1" t="s">
        <v>51</v>
      </c>
      <c r="U143" s="1" t="s">
        <v>42</v>
      </c>
      <c r="V143">
        <v>7.67</v>
      </c>
      <c r="W143">
        <v>7.5</v>
      </c>
      <c r="X143">
        <v>7.42</v>
      </c>
      <c r="Y143">
        <v>7.75</v>
      </c>
      <c r="Z143">
        <v>7.42</v>
      </c>
      <c r="AA143">
        <v>7.58</v>
      </c>
      <c r="AB143">
        <v>10</v>
      </c>
      <c r="AC143">
        <v>10</v>
      </c>
      <c r="AD143">
        <v>10</v>
      </c>
      <c r="AE143">
        <v>7.58</v>
      </c>
      <c r="AF143">
        <v>82.92</v>
      </c>
      <c r="AG143">
        <v>10.199999999999999</v>
      </c>
      <c r="AH143">
        <v>0</v>
      </c>
      <c r="AI143">
        <v>0</v>
      </c>
      <c r="AJ143" s="1" t="s">
        <v>98</v>
      </c>
      <c r="AK143">
        <v>0</v>
      </c>
      <c r="AL143" s="1" t="s">
        <v>206</v>
      </c>
      <c r="AM143" s="1" t="s">
        <v>203</v>
      </c>
      <c r="AN143" s="1" t="s">
        <v>207</v>
      </c>
      <c r="AO143" s="1" t="s">
        <v>208</v>
      </c>
      <c r="AP143" s="1">
        <f>AVERAGEIF(df_arabica_clean[Country of Origin],df_arabica_clean[[#This Row],[Country of Origin]],df_arabica_clean[Total Cup Points])</f>
        <v>84.350327868852446</v>
      </c>
      <c r="AQ143" s="1">
        <f>+COUNTIF(df_arabica_clean[Country of Origin],df_arabica_clean[[#This Row],[Country of Origin]])</f>
        <v>61</v>
      </c>
    </row>
    <row r="144" spans="1:43" x14ac:dyDescent="0.25">
      <c r="A144">
        <v>83</v>
      </c>
      <c r="B144">
        <v>83</v>
      </c>
      <c r="C144" s="1" t="s">
        <v>100</v>
      </c>
      <c r="D144" s="1" t="s">
        <v>411</v>
      </c>
      <c r="E144" s="1" t="s">
        <v>630</v>
      </c>
      <c r="F144" s="1" t="s">
        <v>413</v>
      </c>
      <c r="G144" s="1" t="s">
        <v>413</v>
      </c>
      <c r="H144" s="1">
        <v>1600</v>
      </c>
      <c r="I144" s="1">
        <f>IF(df_arabica_clean[[#This Row],[Altitude]] &lt;= 2500, df_arabica_clean[[#This Row],[Altitude]], ROUND(df_arabica_clean[[#This Row],[Altitude]] / 3.281, 0))</f>
        <v>1600</v>
      </c>
      <c r="J144" s="1" t="str">
        <f>IF(df_arabica_clean[[#This Row],[Altitude]]&gt;2500,"Convertido","Original")</f>
        <v>Original</v>
      </c>
      <c r="K144" s="1" t="s">
        <v>414</v>
      </c>
      <c r="L144" s="1" t="s">
        <v>411</v>
      </c>
      <c r="M144">
        <v>275</v>
      </c>
      <c r="N144" s="1" t="s">
        <v>415</v>
      </c>
      <c r="O144" s="1" t="s">
        <v>396</v>
      </c>
      <c r="P144" s="1" t="s">
        <v>48</v>
      </c>
      <c r="Q144" s="1" t="s">
        <v>500</v>
      </c>
      <c r="R144" s="1" t="s">
        <v>417</v>
      </c>
      <c r="S144" s="1" t="s">
        <v>184</v>
      </c>
      <c r="T144" s="1" t="s">
        <v>51</v>
      </c>
      <c r="U144" s="1" t="s">
        <v>67</v>
      </c>
      <c r="V144">
        <v>7.58</v>
      </c>
      <c r="W144">
        <v>7.92</v>
      </c>
      <c r="X144">
        <v>7.58</v>
      </c>
      <c r="Y144">
        <v>7.83</v>
      </c>
      <c r="Z144">
        <v>7.75</v>
      </c>
      <c r="AA144">
        <v>7.67</v>
      </c>
      <c r="AB144">
        <v>10</v>
      </c>
      <c r="AC144">
        <v>10</v>
      </c>
      <c r="AD144">
        <v>10</v>
      </c>
      <c r="AE144">
        <v>7.75</v>
      </c>
      <c r="AF144">
        <v>84.08</v>
      </c>
      <c r="AG144">
        <v>11</v>
      </c>
      <c r="AH144">
        <v>0</v>
      </c>
      <c r="AI144">
        <v>3</v>
      </c>
      <c r="AJ144" s="1" t="s">
        <v>53</v>
      </c>
      <c r="AK144">
        <v>2</v>
      </c>
      <c r="AL144" s="1" t="s">
        <v>501</v>
      </c>
      <c r="AM144" s="1" t="s">
        <v>396</v>
      </c>
      <c r="AN144" s="1" t="s">
        <v>400</v>
      </c>
      <c r="AO144" s="1" t="s">
        <v>401</v>
      </c>
      <c r="AP144" s="5">
        <f>AVERAGEIF(df_arabica_clean[Country of Origin],df_arabica_clean[[#This Row],[Country of Origin]],df_arabica_clean[Total Cup Points])</f>
        <v>84.301428571428573</v>
      </c>
      <c r="AQ144" s="1">
        <f>+COUNTIF(df_arabica_clean[Country of Origin],df_arabica_clean[[#This Row],[Country of Origin]])</f>
        <v>21</v>
      </c>
    </row>
    <row r="145" spans="1:43" hidden="1" x14ac:dyDescent="0.25">
      <c r="A145">
        <v>27</v>
      </c>
      <c r="B145">
        <v>27</v>
      </c>
      <c r="C145" s="1" t="s">
        <v>57</v>
      </c>
      <c r="D145" s="1" t="s">
        <v>276</v>
      </c>
      <c r="E145" s="1" t="s">
        <v>277</v>
      </c>
      <c r="F145" s="1" t="s">
        <v>276</v>
      </c>
      <c r="G145" s="1" t="s">
        <v>60</v>
      </c>
      <c r="H145" s="1">
        <v>1200</v>
      </c>
      <c r="I145" s="1">
        <f>IF(df_arabica_clean[[#This Row],[Altitude]] &lt;= 2500, df_arabica_clean[[#This Row],[Altitude]], ROUND(df_arabica_clean[[#This Row],[Altitude]] / 3.281, 0))</f>
        <v>1200</v>
      </c>
      <c r="J145" s="1" t="str">
        <f>IF(df_arabica_clean[[#This Row],[Altitude]]&gt;2500,"Convertido","Original")</f>
        <v>Original</v>
      </c>
      <c r="K145" s="1" t="s">
        <v>164</v>
      </c>
      <c r="L145" s="1" t="s">
        <v>278</v>
      </c>
      <c r="M145">
        <v>1</v>
      </c>
      <c r="N145" s="1" t="s">
        <v>116</v>
      </c>
      <c r="O145" s="1" t="s">
        <v>64</v>
      </c>
      <c r="P145" s="1" t="s">
        <v>48</v>
      </c>
      <c r="Q145" s="1" t="s">
        <v>65</v>
      </c>
      <c r="R145" s="1" t="s">
        <v>279</v>
      </c>
      <c r="S145" s="1" t="s">
        <v>66</v>
      </c>
      <c r="T145" s="1" t="s">
        <v>51</v>
      </c>
      <c r="U145" s="1" t="s">
        <v>118</v>
      </c>
      <c r="V145">
        <v>8.17</v>
      </c>
      <c r="W145">
        <v>8.08</v>
      </c>
      <c r="X145">
        <v>7.92</v>
      </c>
      <c r="Y145">
        <v>8</v>
      </c>
      <c r="Z145">
        <v>7.58</v>
      </c>
      <c r="AA145">
        <v>7.83</v>
      </c>
      <c r="AB145">
        <v>10</v>
      </c>
      <c r="AC145">
        <v>10</v>
      </c>
      <c r="AD145">
        <v>10</v>
      </c>
      <c r="AE145">
        <v>7.92</v>
      </c>
      <c r="AF145">
        <v>85.5</v>
      </c>
      <c r="AG145">
        <v>10.6</v>
      </c>
      <c r="AH145">
        <v>0</v>
      </c>
      <c r="AI145">
        <v>0</v>
      </c>
      <c r="AJ145" s="1" t="s">
        <v>53</v>
      </c>
      <c r="AK145">
        <v>0</v>
      </c>
      <c r="AL145" s="1" t="s">
        <v>69</v>
      </c>
      <c r="AM145" s="1" t="s">
        <v>64</v>
      </c>
      <c r="AN145" s="1" t="s">
        <v>70</v>
      </c>
      <c r="AO145" s="1" t="s">
        <v>71</v>
      </c>
      <c r="AP145" s="1">
        <f>AVERAGEIF(df_arabica_clean[Country of Origin],df_arabica_clean[[#This Row],[Country of Origin]],df_arabica_clean[Total Cup Points])</f>
        <v>84.350327868852446</v>
      </c>
      <c r="AQ145" s="1">
        <f>+COUNTIF(df_arabica_clean[Country of Origin],df_arabica_clean[[#This Row],[Country of Origin]])</f>
        <v>61</v>
      </c>
    </row>
    <row r="146" spans="1:43" hidden="1" x14ac:dyDescent="0.25">
      <c r="A146">
        <v>58</v>
      </c>
      <c r="B146">
        <v>58</v>
      </c>
      <c r="C146" s="1" t="s">
        <v>57</v>
      </c>
      <c r="D146" s="1" t="s">
        <v>485</v>
      </c>
      <c r="E146" s="1" t="s">
        <v>486</v>
      </c>
      <c r="F146" s="1" t="s">
        <v>355</v>
      </c>
      <c r="G146" s="1" t="s">
        <v>356</v>
      </c>
      <c r="H146" s="1">
        <v>1200</v>
      </c>
      <c r="I146" s="1">
        <f>IF(df_arabica_clean[[#This Row],[Altitude]] &lt;= 2500, df_arabica_clean[[#This Row],[Altitude]], ROUND(df_arabica_clean[[#This Row],[Altitude]] / 3.281, 0))</f>
        <v>1200</v>
      </c>
      <c r="J146" s="1" t="str">
        <f>IF(df_arabica_clean[[#This Row],[Altitude]]&gt;2500,"Convertido","Original")</f>
        <v>Original</v>
      </c>
      <c r="K146" s="1" t="s">
        <v>357</v>
      </c>
      <c r="L146" s="1" t="s">
        <v>487</v>
      </c>
      <c r="M146">
        <v>1</v>
      </c>
      <c r="N146" s="1" t="s">
        <v>202</v>
      </c>
      <c r="O146" s="1" t="s">
        <v>64</v>
      </c>
      <c r="P146" s="1" t="s">
        <v>48</v>
      </c>
      <c r="Q146" s="1" t="s">
        <v>359</v>
      </c>
      <c r="R146" s="1" t="s">
        <v>360</v>
      </c>
      <c r="S146" s="1" t="s">
        <v>428</v>
      </c>
      <c r="T146" s="1" t="s">
        <v>51</v>
      </c>
      <c r="U146" s="1" t="s">
        <v>188</v>
      </c>
      <c r="V146">
        <v>7.92</v>
      </c>
      <c r="W146">
        <v>8.08</v>
      </c>
      <c r="X146">
        <v>7.67</v>
      </c>
      <c r="Y146">
        <v>7.92</v>
      </c>
      <c r="Z146">
        <v>7.67</v>
      </c>
      <c r="AA146">
        <v>7.75</v>
      </c>
      <c r="AB146">
        <v>10</v>
      </c>
      <c r="AC146">
        <v>10</v>
      </c>
      <c r="AD146">
        <v>10</v>
      </c>
      <c r="AE146">
        <v>7.75</v>
      </c>
      <c r="AF146">
        <v>84.75</v>
      </c>
      <c r="AG146">
        <v>10</v>
      </c>
      <c r="AH146">
        <v>0</v>
      </c>
      <c r="AI146">
        <v>0</v>
      </c>
      <c r="AJ146" s="1" t="s">
        <v>68</v>
      </c>
      <c r="AK146">
        <v>0</v>
      </c>
      <c r="AL146" s="1" t="s">
        <v>361</v>
      </c>
      <c r="AM146" s="1" t="s">
        <v>64</v>
      </c>
      <c r="AN146" s="1" t="s">
        <v>70</v>
      </c>
      <c r="AO146" s="1" t="s">
        <v>71</v>
      </c>
      <c r="AP146" s="1">
        <f>AVERAGEIF(df_arabica_clean[Country of Origin],df_arabica_clean[[#This Row],[Country of Origin]],df_arabica_clean[Total Cup Points])</f>
        <v>84.350327868852446</v>
      </c>
      <c r="AQ146" s="1">
        <f>+COUNTIF(df_arabica_clean[Country of Origin],df_arabica_clean[[#This Row],[Country of Origin]])</f>
        <v>61</v>
      </c>
    </row>
    <row r="147" spans="1:43" x14ac:dyDescent="0.25">
      <c r="A147">
        <v>48</v>
      </c>
      <c r="B147">
        <v>48</v>
      </c>
      <c r="C147" s="1" t="s">
        <v>100</v>
      </c>
      <c r="D147" s="1" t="s">
        <v>411</v>
      </c>
      <c r="E147" s="1" t="s">
        <v>412</v>
      </c>
      <c r="F147" s="1" t="s">
        <v>413</v>
      </c>
      <c r="G147" s="1" t="s">
        <v>413</v>
      </c>
      <c r="H147" s="1">
        <v>1600</v>
      </c>
      <c r="I147" s="1">
        <f>IF(df_arabica_clean[[#This Row],[Altitude]] &lt;= 2500, df_arabica_clean[[#This Row],[Altitude]], ROUND(df_arabica_clean[[#This Row],[Altitude]] / 3.281, 0))</f>
        <v>1600</v>
      </c>
      <c r="J147" s="1" t="str">
        <f>IF(df_arabica_clean[[#This Row],[Altitude]]&gt;2500,"Convertido","Original")</f>
        <v>Original</v>
      </c>
      <c r="K147" s="1" t="s">
        <v>414</v>
      </c>
      <c r="L147" s="1" t="s">
        <v>411</v>
      </c>
      <c r="M147">
        <v>275</v>
      </c>
      <c r="N147" s="1" t="s">
        <v>415</v>
      </c>
      <c r="O147" s="1" t="s">
        <v>396</v>
      </c>
      <c r="P147" s="1" t="s">
        <v>48</v>
      </c>
      <c r="Q147" s="1" t="s">
        <v>416</v>
      </c>
      <c r="R147" s="1" t="s">
        <v>417</v>
      </c>
      <c r="S147" s="1" t="s">
        <v>184</v>
      </c>
      <c r="T147" s="1" t="s">
        <v>51</v>
      </c>
      <c r="U147" s="1" t="s">
        <v>67</v>
      </c>
      <c r="V147">
        <v>7.83</v>
      </c>
      <c r="W147">
        <v>7.92</v>
      </c>
      <c r="X147">
        <v>7.75</v>
      </c>
      <c r="Y147">
        <v>8</v>
      </c>
      <c r="Z147">
        <v>7.75</v>
      </c>
      <c r="AA147">
        <v>7.75</v>
      </c>
      <c r="AB147">
        <v>10</v>
      </c>
      <c r="AC147">
        <v>10</v>
      </c>
      <c r="AD147">
        <v>10</v>
      </c>
      <c r="AE147">
        <v>7.92</v>
      </c>
      <c r="AF147">
        <v>84.92</v>
      </c>
      <c r="AG147">
        <v>11.7</v>
      </c>
      <c r="AH147">
        <v>0</v>
      </c>
      <c r="AI147">
        <v>3</v>
      </c>
      <c r="AJ147" s="1" t="s">
        <v>53</v>
      </c>
      <c r="AK147">
        <v>1</v>
      </c>
      <c r="AL147" s="1" t="s">
        <v>418</v>
      </c>
      <c r="AM147" s="1" t="s">
        <v>396</v>
      </c>
      <c r="AN147" s="1" t="s">
        <v>400</v>
      </c>
      <c r="AO147" s="1" t="s">
        <v>401</v>
      </c>
      <c r="AP147" s="5">
        <f>AVERAGEIF(df_arabica_clean[Country of Origin],df_arabica_clean[[#This Row],[Country of Origin]],df_arabica_clean[Total Cup Points])</f>
        <v>84.301428571428573</v>
      </c>
      <c r="AQ147" s="1">
        <f>+COUNTIF(df_arabica_clean[Country of Origin],df_arabica_clean[[#This Row],[Country of Origin]])</f>
        <v>21</v>
      </c>
    </row>
    <row r="148" spans="1:43" x14ac:dyDescent="0.25">
      <c r="A148">
        <v>59</v>
      </c>
      <c r="B148">
        <v>59</v>
      </c>
      <c r="C148" s="1" t="s">
        <v>100</v>
      </c>
      <c r="D148" s="1" t="s">
        <v>488</v>
      </c>
      <c r="E148" s="1" t="s">
        <v>489</v>
      </c>
      <c r="F148" s="1" t="s">
        <v>490</v>
      </c>
      <c r="G148" s="1" t="s">
        <v>393</v>
      </c>
      <c r="H148" s="1">
        <v>1600</v>
      </c>
      <c r="I148" s="1">
        <f>IF(df_arabica_clean[[#This Row],[Altitude]] &lt;= 2500, df_arabica_clean[[#This Row],[Altitude]], ROUND(df_arabica_clean[[#This Row],[Altitude]] / 3.281, 0))</f>
        <v>1600</v>
      </c>
      <c r="J148" s="1" t="str">
        <f>IF(df_arabica_clean[[#This Row],[Altitude]]&gt;2500,"Convertido","Original")</f>
        <v>Original</v>
      </c>
      <c r="K148" s="1" t="s">
        <v>491</v>
      </c>
      <c r="L148" s="1" t="s">
        <v>492</v>
      </c>
      <c r="M148">
        <v>600</v>
      </c>
      <c r="N148" s="1" t="s">
        <v>106</v>
      </c>
      <c r="O148" s="1" t="s">
        <v>396</v>
      </c>
      <c r="P148" s="1" t="s">
        <v>134</v>
      </c>
      <c r="Q148" s="1" t="s">
        <v>493</v>
      </c>
      <c r="R148" s="1" t="s">
        <v>398</v>
      </c>
      <c r="S148" s="1" t="s">
        <v>184</v>
      </c>
      <c r="T148" s="1" t="s">
        <v>51</v>
      </c>
      <c r="U148" s="1" t="s">
        <v>67</v>
      </c>
      <c r="V148">
        <v>7.67</v>
      </c>
      <c r="W148">
        <v>8</v>
      </c>
      <c r="X148">
        <v>7.67</v>
      </c>
      <c r="Y148">
        <v>7.83</v>
      </c>
      <c r="Z148">
        <v>7.92</v>
      </c>
      <c r="AA148">
        <v>7.67</v>
      </c>
      <c r="AB148">
        <v>10</v>
      </c>
      <c r="AC148">
        <v>10</v>
      </c>
      <c r="AD148">
        <v>10</v>
      </c>
      <c r="AE148">
        <v>7.92</v>
      </c>
      <c r="AF148">
        <v>84.67</v>
      </c>
      <c r="AG148">
        <v>10.6</v>
      </c>
      <c r="AH148">
        <v>0</v>
      </c>
      <c r="AI148">
        <v>0</v>
      </c>
      <c r="AJ148" s="1" t="s">
        <v>53</v>
      </c>
      <c r="AK148">
        <v>1</v>
      </c>
      <c r="AL148" s="1" t="s">
        <v>494</v>
      </c>
      <c r="AM148" s="1" t="s">
        <v>396</v>
      </c>
      <c r="AN148" s="1" t="s">
        <v>400</v>
      </c>
      <c r="AO148" s="1" t="s">
        <v>401</v>
      </c>
      <c r="AP148" s="5">
        <f>AVERAGEIF(df_arabica_clean[Country of Origin],df_arabica_clean[[#This Row],[Country of Origin]],df_arabica_clean[Total Cup Points])</f>
        <v>84.301428571428573</v>
      </c>
      <c r="AQ148" s="1">
        <f>+COUNTIF(df_arabica_clean[Country of Origin],df_arabica_clean[[#This Row],[Country of Origin]])</f>
        <v>21</v>
      </c>
    </row>
    <row r="149" spans="1:43" hidden="1" x14ac:dyDescent="0.25">
      <c r="A149">
        <v>15</v>
      </c>
      <c r="B149">
        <v>15</v>
      </c>
      <c r="C149" s="1" t="s">
        <v>57</v>
      </c>
      <c r="D149" s="1" t="s">
        <v>185</v>
      </c>
      <c r="E149" s="1" t="s">
        <v>186</v>
      </c>
      <c r="F149" s="1" t="s">
        <v>185</v>
      </c>
      <c r="G149" s="1" t="s">
        <v>60</v>
      </c>
      <c r="H149" s="1">
        <v>1100</v>
      </c>
      <c r="I149" s="1">
        <f>IF(df_arabica_clean[[#This Row],[Altitude]] &lt;= 2500, df_arabica_clean[[#This Row],[Altitude]], ROUND(df_arabica_clean[[#This Row],[Altitude]] / 3.281, 0))</f>
        <v>1100</v>
      </c>
      <c r="J149" s="1" t="str">
        <f>IF(df_arabica_clean[[#This Row],[Altitude]]&gt;2500,"Convertido","Original")</f>
        <v>Original</v>
      </c>
      <c r="K149" s="1" t="s">
        <v>61</v>
      </c>
      <c r="L149" s="1" t="s">
        <v>187</v>
      </c>
      <c r="M149">
        <v>1</v>
      </c>
      <c r="N149" s="1" t="s">
        <v>132</v>
      </c>
      <c r="O149" s="1" t="s">
        <v>64</v>
      </c>
      <c r="P149" s="1" t="s">
        <v>48</v>
      </c>
      <c r="Q149" s="1" t="s">
        <v>65</v>
      </c>
      <c r="R149" s="1" t="s">
        <v>64</v>
      </c>
      <c r="S149" s="1" t="s">
        <v>124</v>
      </c>
      <c r="T149" s="1" t="s">
        <v>51</v>
      </c>
      <c r="U149" s="1" t="s">
        <v>188</v>
      </c>
      <c r="V149">
        <v>8.17</v>
      </c>
      <c r="W149">
        <v>8.08</v>
      </c>
      <c r="X149">
        <v>8</v>
      </c>
      <c r="Y149">
        <v>7.92</v>
      </c>
      <c r="Z149">
        <v>8</v>
      </c>
      <c r="AA149">
        <v>7.92</v>
      </c>
      <c r="AB149">
        <v>10</v>
      </c>
      <c r="AC149">
        <v>10</v>
      </c>
      <c r="AD149">
        <v>10</v>
      </c>
      <c r="AE149">
        <v>8</v>
      </c>
      <c r="AF149">
        <v>86.08</v>
      </c>
      <c r="AG149">
        <v>10.199999999999999</v>
      </c>
      <c r="AH149">
        <v>0</v>
      </c>
      <c r="AI149">
        <v>0</v>
      </c>
      <c r="AJ149" s="1" t="s">
        <v>53</v>
      </c>
      <c r="AK149">
        <v>0</v>
      </c>
      <c r="AL149" s="1" t="s">
        <v>69</v>
      </c>
      <c r="AM149" s="1" t="s">
        <v>64</v>
      </c>
      <c r="AN149" s="1" t="s">
        <v>70</v>
      </c>
      <c r="AO149" s="1" t="s">
        <v>71</v>
      </c>
      <c r="AP149" s="4">
        <f>AVERAGEIF(df_arabica_clean[Country of Origin],df_arabica_clean[[#This Row],[Country of Origin]],df_arabica_clean[Total Cup Points])</f>
        <v>84.350327868852446</v>
      </c>
      <c r="AQ149" s="1">
        <f>+COUNTIF(df_arabica_clean[Country of Origin],df_arabica_clean[[#This Row],[Country of Origin]])</f>
        <v>61</v>
      </c>
    </row>
    <row r="150" spans="1:43" hidden="1" x14ac:dyDescent="0.25">
      <c r="A150">
        <v>119</v>
      </c>
      <c r="B150">
        <v>119</v>
      </c>
      <c r="C150" s="1" t="s">
        <v>57</v>
      </c>
      <c r="D150" s="1" t="s">
        <v>821</v>
      </c>
      <c r="E150" s="1" t="s">
        <v>822</v>
      </c>
      <c r="F150" s="1" t="s">
        <v>821</v>
      </c>
      <c r="G150" s="1" t="s">
        <v>60</v>
      </c>
      <c r="H150" s="1">
        <v>1100</v>
      </c>
      <c r="I150" s="1">
        <f>IF(df_arabica_clean[[#This Row],[Altitude]] &lt;= 2500, df_arabica_clean[[#This Row],[Altitude]], ROUND(df_arabica_clean[[#This Row],[Altitude]] / 3.281, 0))</f>
        <v>1100</v>
      </c>
      <c r="J150" s="1" t="str">
        <f>IF(df_arabica_clean[[#This Row],[Altitude]]&gt;2500,"Convertido","Original")</f>
        <v>Original</v>
      </c>
      <c r="K150" s="1" t="s">
        <v>61</v>
      </c>
      <c r="L150" s="1" t="s">
        <v>823</v>
      </c>
      <c r="M150">
        <v>1</v>
      </c>
      <c r="N150" s="1" t="s">
        <v>824</v>
      </c>
      <c r="O150" s="1" t="s">
        <v>64</v>
      </c>
      <c r="P150" s="1" t="s">
        <v>48</v>
      </c>
      <c r="Q150" s="1" t="s">
        <v>65</v>
      </c>
      <c r="R150" s="1" t="s">
        <v>825</v>
      </c>
      <c r="S150" s="1" t="s">
        <v>826</v>
      </c>
      <c r="T150" s="1" t="s">
        <v>51</v>
      </c>
      <c r="U150" s="1" t="s">
        <v>67</v>
      </c>
      <c r="V150">
        <v>7.75</v>
      </c>
      <c r="W150">
        <v>7.92</v>
      </c>
      <c r="X150">
        <v>7.67</v>
      </c>
      <c r="Y150">
        <v>7.92</v>
      </c>
      <c r="Z150">
        <v>7.75</v>
      </c>
      <c r="AA150">
        <v>7.83</v>
      </c>
      <c r="AB150">
        <v>8.67</v>
      </c>
      <c r="AC150">
        <v>10</v>
      </c>
      <c r="AD150">
        <v>10</v>
      </c>
      <c r="AE150">
        <v>7.92</v>
      </c>
      <c r="AF150">
        <v>83.42</v>
      </c>
      <c r="AG150">
        <v>10.1</v>
      </c>
      <c r="AH150">
        <v>0</v>
      </c>
      <c r="AI150">
        <v>0</v>
      </c>
      <c r="AJ150" s="1" t="s">
        <v>68</v>
      </c>
      <c r="AK150">
        <v>0</v>
      </c>
      <c r="AL150" s="1" t="s">
        <v>69</v>
      </c>
      <c r="AM150" s="1" t="s">
        <v>64</v>
      </c>
      <c r="AN150" s="1" t="s">
        <v>70</v>
      </c>
      <c r="AO150" s="1" t="s">
        <v>71</v>
      </c>
      <c r="AP150" s="1">
        <f>AVERAGEIF(df_arabica_clean[Country of Origin],df_arabica_clean[[#This Row],[Country of Origin]],df_arabica_clean[Total Cup Points])</f>
        <v>84.350327868852446</v>
      </c>
      <c r="AQ150" s="1">
        <f>+COUNTIF(df_arabica_clean[Country of Origin],df_arabica_clean[[#This Row],[Country of Origin]])</f>
        <v>61</v>
      </c>
    </row>
    <row r="151" spans="1:43" x14ac:dyDescent="0.25">
      <c r="A151">
        <v>95</v>
      </c>
      <c r="B151">
        <v>95</v>
      </c>
      <c r="C151" s="1" t="s">
        <v>100</v>
      </c>
      <c r="D151" s="1" t="s">
        <v>619</v>
      </c>
      <c r="E151" s="1" t="s">
        <v>691</v>
      </c>
      <c r="F151" s="1" t="s">
        <v>619</v>
      </c>
      <c r="G151" s="1" t="s">
        <v>393</v>
      </c>
      <c r="H151" s="1">
        <v>1600</v>
      </c>
      <c r="I151" s="1">
        <f>IF(df_arabica_clean[[#This Row],[Altitude]] &lt;= 2500, df_arabica_clean[[#This Row],[Altitude]], ROUND(df_arabica_clean[[#This Row],[Altitude]] / 3.281, 0))</f>
        <v>1600</v>
      </c>
      <c r="J151" s="1" t="str">
        <f>IF(df_arabica_clean[[#This Row],[Altitude]]&gt;2500,"Convertido","Original")</f>
        <v>Original</v>
      </c>
      <c r="K151" s="1" t="s">
        <v>621</v>
      </c>
      <c r="L151" s="1" t="s">
        <v>622</v>
      </c>
      <c r="M151">
        <v>35</v>
      </c>
      <c r="N151" s="1" t="s">
        <v>106</v>
      </c>
      <c r="O151" s="1" t="s">
        <v>396</v>
      </c>
      <c r="P151" s="1" t="s">
        <v>134</v>
      </c>
      <c r="Q151" s="1" t="s">
        <v>397</v>
      </c>
      <c r="R151" s="1" t="s">
        <v>398</v>
      </c>
      <c r="S151" s="1" t="s">
        <v>137</v>
      </c>
      <c r="T151" s="1" t="s">
        <v>51</v>
      </c>
      <c r="U151" s="1" t="s">
        <v>67</v>
      </c>
      <c r="V151">
        <v>7.58</v>
      </c>
      <c r="W151">
        <v>7.83</v>
      </c>
      <c r="X151">
        <v>7.58</v>
      </c>
      <c r="Y151">
        <v>7.75</v>
      </c>
      <c r="Z151">
        <v>7.67</v>
      </c>
      <c r="AA151">
        <v>7.75</v>
      </c>
      <c r="AB151">
        <v>10</v>
      </c>
      <c r="AC151">
        <v>10</v>
      </c>
      <c r="AD151">
        <v>10</v>
      </c>
      <c r="AE151">
        <v>7.75</v>
      </c>
      <c r="AF151">
        <v>83.92</v>
      </c>
      <c r="AG151">
        <v>10</v>
      </c>
      <c r="AH151">
        <v>0</v>
      </c>
      <c r="AI151">
        <v>1</v>
      </c>
      <c r="AJ151" s="1" t="s">
        <v>53</v>
      </c>
      <c r="AK151">
        <v>2</v>
      </c>
      <c r="AL151" s="1" t="s">
        <v>399</v>
      </c>
      <c r="AM151" s="1" t="s">
        <v>396</v>
      </c>
      <c r="AN151" s="1" t="s">
        <v>400</v>
      </c>
      <c r="AO151" s="1" t="s">
        <v>401</v>
      </c>
      <c r="AP151" s="5">
        <f>AVERAGEIF(df_arabica_clean[Country of Origin],df_arabica_clean[[#This Row],[Country of Origin]],df_arabica_clean[Total Cup Points])</f>
        <v>84.301428571428573</v>
      </c>
      <c r="AQ151" s="1">
        <f>+COUNTIF(df_arabica_clean[Country of Origin],df_arabica_clean[[#This Row],[Country of Origin]])</f>
        <v>21</v>
      </c>
    </row>
    <row r="152" spans="1:43" x14ac:dyDescent="0.25">
      <c r="A152">
        <v>80</v>
      </c>
      <c r="B152">
        <v>80</v>
      </c>
      <c r="C152" s="1" t="s">
        <v>100</v>
      </c>
      <c r="D152" s="1" t="s">
        <v>619</v>
      </c>
      <c r="E152" s="1" t="s">
        <v>620</v>
      </c>
      <c r="F152" s="1" t="s">
        <v>619</v>
      </c>
      <c r="G152" s="1" t="s">
        <v>393</v>
      </c>
      <c r="H152" s="1">
        <v>1600</v>
      </c>
      <c r="I152" s="1">
        <f>IF(df_arabica_clean[[#This Row],[Altitude]] &lt;= 2500, df_arabica_clean[[#This Row],[Altitude]], ROUND(df_arabica_clean[[#This Row],[Altitude]] / 3.281, 0))</f>
        <v>1600</v>
      </c>
      <c r="J152" s="1" t="str">
        <f>IF(df_arabica_clean[[#This Row],[Altitude]]&gt;2500,"Convertido","Original")</f>
        <v>Original</v>
      </c>
      <c r="K152" s="1" t="s">
        <v>621</v>
      </c>
      <c r="L152" s="1" t="s">
        <v>622</v>
      </c>
      <c r="M152">
        <v>55</v>
      </c>
      <c r="N152" s="1" t="s">
        <v>106</v>
      </c>
      <c r="O152" s="1" t="s">
        <v>396</v>
      </c>
      <c r="P152" s="1" t="s">
        <v>134</v>
      </c>
      <c r="Q152" s="1" t="s">
        <v>397</v>
      </c>
      <c r="R152" s="1" t="s">
        <v>398</v>
      </c>
      <c r="S152" s="1" t="s">
        <v>231</v>
      </c>
      <c r="T152" s="1" t="s">
        <v>51</v>
      </c>
      <c r="U152" s="1" t="s">
        <v>67</v>
      </c>
      <c r="V152">
        <v>7.58</v>
      </c>
      <c r="W152">
        <v>7.92</v>
      </c>
      <c r="X152">
        <v>7.67</v>
      </c>
      <c r="Y152">
        <v>7.75</v>
      </c>
      <c r="Z152">
        <v>7.83</v>
      </c>
      <c r="AA152">
        <v>7.75</v>
      </c>
      <c r="AB152">
        <v>10</v>
      </c>
      <c r="AC152">
        <v>10</v>
      </c>
      <c r="AD152">
        <v>10</v>
      </c>
      <c r="AE152">
        <v>7.75</v>
      </c>
      <c r="AF152">
        <v>84.25</v>
      </c>
      <c r="AG152">
        <v>10</v>
      </c>
      <c r="AH152">
        <v>0</v>
      </c>
      <c r="AI152">
        <v>0</v>
      </c>
      <c r="AJ152" s="1" t="s">
        <v>53</v>
      </c>
      <c r="AK152">
        <v>1</v>
      </c>
      <c r="AL152" s="1" t="s">
        <v>399</v>
      </c>
      <c r="AM152" s="1" t="s">
        <v>396</v>
      </c>
      <c r="AN152" s="1" t="s">
        <v>400</v>
      </c>
      <c r="AO152" s="1" t="s">
        <v>401</v>
      </c>
      <c r="AP152" s="5">
        <f>AVERAGEIF(df_arabica_clean[Country of Origin],df_arabica_clean[[#This Row],[Country of Origin]],df_arabica_clean[Total Cup Points])</f>
        <v>84.301428571428573</v>
      </c>
      <c r="AQ152" s="1">
        <f>+COUNTIF(df_arabica_clean[Country of Origin],df_arabica_clean[[#This Row],[Country of Origin]])</f>
        <v>21</v>
      </c>
    </row>
    <row r="153" spans="1:43" hidden="1" x14ac:dyDescent="0.25">
      <c r="A153">
        <v>130</v>
      </c>
      <c r="B153">
        <v>130</v>
      </c>
      <c r="C153" s="1" t="s">
        <v>57</v>
      </c>
      <c r="D153" s="1" t="s">
        <v>865</v>
      </c>
      <c r="E153" s="1" t="s">
        <v>866</v>
      </c>
      <c r="F153" s="1" t="s">
        <v>865</v>
      </c>
      <c r="G153" s="1" t="s">
        <v>364</v>
      </c>
      <c r="H153" s="1">
        <v>1100</v>
      </c>
      <c r="I153" s="1">
        <f>IF(df_arabica_clean[[#This Row],[Altitude]] &lt;= 2500, df_arabica_clean[[#This Row],[Altitude]], ROUND(df_arabica_clean[[#This Row],[Altitude]] / 3.281, 0))</f>
        <v>1100</v>
      </c>
      <c r="J153" s="1" t="str">
        <f>IF(df_arabica_clean[[#This Row],[Altitude]]&gt;2500,"Convertido","Original")</f>
        <v>Original</v>
      </c>
      <c r="K153" s="1" t="s">
        <v>365</v>
      </c>
      <c r="L153" s="1" t="s">
        <v>867</v>
      </c>
      <c r="M153">
        <v>1</v>
      </c>
      <c r="N153" s="1" t="s">
        <v>868</v>
      </c>
      <c r="O153" s="1" t="s">
        <v>64</v>
      </c>
      <c r="P153" s="1" t="s">
        <v>48</v>
      </c>
      <c r="Q153" s="1" t="s">
        <v>266</v>
      </c>
      <c r="R153" s="1" t="s">
        <v>367</v>
      </c>
      <c r="S153" s="1" t="s">
        <v>553</v>
      </c>
      <c r="T153" s="1" t="s">
        <v>51</v>
      </c>
      <c r="U153" s="1" t="s">
        <v>67</v>
      </c>
      <c r="V153">
        <v>7.75</v>
      </c>
      <c r="W153">
        <v>7.75</v>
      </c>
      <c r="X153">
        <v>7.58</v>
      </c>
      <c r="Y153">
        <v>7.67</v>
      </c>
      <c r="Z153">
        <v>7.42</v>
      </c>
      <c r="AA153">
        <v>7.5</v>
      </c>
      <c r="AB153">
        <v>10</v>
      </c>
      <c r="AC153">
        <v>10</v>
      </c>
      <c r="AD153">
        <v>10</v>
      </c>
      <c r="AE153">
        <v>7.58</v>
      </c>
      <c r="AF153">
        <v>83.25</v>
      </c>
      <c r="AG153">
        <v>9.6</v>
      </c>
      <c r="AH153">
        <v>0</v>
      </c>
      <c r="AI153">
        <v>0</v>
      </c>
      <c r="AJ153" s="1" t="s">
        <v>53</v>
      </c>
      <c r="AK153">
        <v>1</v>
      </c>
      <c r="AL153" s="1" t="s">
        <v>268</v>
      </c>
      <c r="AM153" s="1" t="s">
        <v>64</v>
      </c>
      <c r="AN153" s="1" t="s">
        <v>70</v>
      </c>
      <c r="AO153" s="1" t="s">
        <v>71</v>
      </c>
      <c r="AP153" s="1">
        <f>AVERAGEIF(df_arabica_clean[Country of Origin],df_arabica_clean[[#This Row],[Country of Origin]],df_arabica_clean[Total Cup Points])</f>
        <v>84.350327868852446</v>
      </c>
      <c r="AQ153" s="1">
        <f>+COUNTIF(df_arabica_clean[Country of Origin],df_arabica_clean[[#This Row],[Country of Origin]])</f>
        <v>61</v>
      </c>
    </row>
    <row r="154" spans="1:43" hidden="1" x14ac:dyDescent="0.25">
      <c r="A154">
        <v>28</v>
      </c>
      <c r="B154">
        <v>28</v>
      </c>
      <c r="C154" s="1" t="s">
        <v>57</v>
      </c>
      <c r="D154" s="1" t="s">
        <v>280</v>
      </c>
      <c r="E154" s="1" t="s">
        <v>281</v>
      </c>
      <c r="F154" s="1" t="s">
        <v>280</v>
      </c>
      <c r="G154" s="1" t="s">
        <v>60</v>
      </c>
      <c r="H154" s="1">
        <v>1060</v>
      </c>
      <c r="I154" s="1">
        <f>IF(df_arabica_clean[[#This Row],[Altitude]] &lt;= 2500, df_arabica_clean[[#This Row],[Altitude]], ROUND(df_arabica_clean[[#This Row],[Altitude]] / 3.281, 0))</f>
        <v>1060</v>
      </c>
      <c r="J154" s="1" t="str">
        <f>IF(df_arabica_clean[[#This Row],[Altitude]]&gt;2500,"Convertido","Original")</f>
        <v>Original</v>
      </c>
      <c r="K154" s="1" t="s">
        <v>61</v>
      </c>
      <c r="L154" s="1" t="s">
        <v>282</v>
      </c>
      <c r="M154">
        <v>1</v>
      </c>
      <c r="N154" s="1" t="s">
        <v>283</v>
      </c>
      <c r="O154" s="1" t="s">
        <v>64</v>
      </c>
      <c r="P154" s="1" t="s">
        <v>48</v>
      </c>
      <c r="Q154" s="1" t="s">
        <v>65</v>
      </c>
      <c r="R154" s="1" t="s">
        <v>64</v>
      </c>
      <c r="S154" s="1" t="s">
        <v>66</v>
      </c>
      <c r="T154" s="1" t="s">
        <v>51</v>
      </c>
      <c r="U154" s="1" t="s">
        <v>118</v>
      </c>
      <c r="V154">
        <v>8</v>
      </c>
      <c r="W154">
        <v>8</v>
      </c>
      <c r="X154">
        <v>8</v>
      </c>
      <c r="Y154">
        <v>7.92</v>
      </c>
      <c r="Z154">
        <v>7.75</v>
      </c>
      <c r="AA154">
        <v>7.92</v>
      </c>
      <c r="AB154">
        <v>10</v>
      </c>
      <c r="AC154">
        <v>10</v>
      </c>
      <c r="AD154">
        <v>10</v>
      </c>
      <c r="AE154">
        <v>7.92</v>
      </c>
      <c r="AF154">
        <v>85.5</v>
      </c>
      <c r="AG154">
        <v>10.199999999999999</v>
      </c>
      <c r="AH154">
        <v>0</v>
      </c>
      <c r="AI154">
        <v>0</v>
      </c>
      <c r="AJ154" s="1" t="s">
        <v>68</v>
      </c>
      <c r="AK154">
        <v>0</v>
      </c>
      <c r="AL154" s="1" t="s">
        <v>69</v>
      </c>
      <c r="AM154" s="1" t="s">
        <v>64</v>
      </c>
      <c r="AN154" s="1" t="s">
        <v>70</v>
      </c>
      <c r="AO154" s="1" t="s">
        <v>71</v>
      </c>
      <c r="AP154" s="1">
        <f>AVERAGEIF(df_arabica_clean[Country of Origin],df_arabica_clean[[#This Row],[Country of Origin]],df_arabica_clean[Total Cup Points])</f>
        <v>84.350327868852446</v>
      </c>
      <c r="AQ154" s="1">
        <f>+COUNTIF(df_arabica_clean[Country of Origin],df_arabica_clean[[#This Row],[Country of Origin]])</f>
        <v>61</v>
      </c>
    </row>
    <row r="155" spans="1:43" hidden="1" x14ac:dyDescent="0.25">
      <c r="A155">
        <v>164</v>
      </c>
      <c r="B155">
        <v>164</v>
      </c>
      <c r="C155" s="1" t="s">
        <v>541</v>
      </c>
      <c r="D155" s="1" t="s">
        <v>1037</v>
      </c>
      <c r="E155" s="1" t="s">
        <v>1038</v>
      </c>
      <c r="F155" s="1" t="s">
        <v>372</v>
      </c>
      <c r="G155" s="1" t="s">
        <v>1039</v>
      </c>
      <c r="H155" s="1">
        <v>1040</v>
      </c>
      <c r="I155" s="1">
        <f>IF(df_arabica_clean[[#This Row],[Altitude]] &lt;= 2500, df_arabica_clean[[#This Row],[Altitude]], ROUND(df_arabica_clean[[#This Row],[Altitude]] / 3.281, 0))</f>
        <v>1040</v>
      </c>
      <c r="J155" s="1" t="str">
        <f>IF(df_arabica_clean[[#This Row],[Altitude]]&gt;2500,"Convertido","Original")</f>
        <v>Original</v>
      </c>
      <c r="K155" s="1" t="s">
        <v>1040</v>
      </c>
      <c r="L155" s="1" t="s">
        <v>1041</v>
      </c>
      <c r="M155">
        <v>77</v>
      </c>
      <c r="N155" s="1" t="s">
        <v>157</v>
      </c>
      <c r="O155" s="1" t="s">
        <v>526</v>
      </c>
      <c r="P155" s="1" t="s">
        <v>158</v>
      </c>
      <c r="Q155" s="1" t="s">
        <v>1042</v>
      </c>
      <c r="R155" s="1" t="s">
        <v>1039</v>
      </c>
      <c r="S155" s="1" t="s">
        <v>243</v>
      </c>
      <c r="T155" s="1" t="s">
        <v>51</v>
      </c>
      <c r="U155" s="1" t="s">
        <v>67</v>
      </c>
      <c r="V155">
        <v>7.5</v>
      </c>
      <c r="W155">
        <v>7.5</v>
      </c>
      <c r="X155">
        <v>7.33</v>
      </c>
      <c r="Y155">
        <v>7.5</v>
      </c>
      <c r="Z155">
        <v>7.5</v>
      </c>
      <c r="AA155">
        <v>7.42</v>
      </c>
      <c r="AB155">
        <v>10</v>
      </c>
      <c r="AC155">
        <v>10</v>
      </c>
      <c r="AD155">
        <v>10</v>
      </c>
      <c r="AE155">
        <v>7.58</v>
      </c>
      <c r="AF155">
        <v>82.33</v>
      </c>
      <c r="AG155">
        <v>10.5</v>
      </c>
      <c r="AH155">
        <v>0</v>
      </c>
      <c r="AI155">
        <v>0</v>
      </c>
      <c r="AJ155" s="1" t="s">
        <v>257</v>
      </c>
      <c r="AK155">
        <v>0</v>
      </c>
      <c r="AL155" s="1" t="s">
        <v>1043</v>
      </c>
      <c r="AM155" s="1" t="s">
        <v>526</v>
      </c>
      <c r="AN155" s="1" t="s">
        <v>531</v>
      </c>
      <c r="AO155" s="1" t="s">
        <v>532</v>
      </c>
      <c r="AP155" s="1">
        <f>AVERAGEIF(df_arabica_clean[Country of Origin],df_arabica_clean[[#This Row],[Country of Origin]],df_arabica_clean[Total Cup Points])</f>
        <v>82.892499999999998</v>
      </c>
      <c r="AQ155" s="1">
        <f>+COUNTIF(df_arabica_clean[Country of Origin],df_arabica_clean[[#This Row],[Country of Origin]])</f>
        <v>4</v>
      </c>
    </row>
    <row r="156" spans="1:43" x14ac:dyDescent="0.25">
      <c r="A156">
        <v>46</v>
      </c>
      <c r="B156">
        <v>46</v>
      </c>
      <c r="C156" s="1" t="s">
        <v>100</v>
      </c>
      <c r="D156" s="1" t="s">
        <v>390</v>
      </c>
      <c r="E156" s="1" t="s">
        <v>391</v>
      </c>
      <c r="F156" s="1" t="s">
        <v>392</v>
      </c>
      <c r="G156" s="1" t="s">
        <v>393</v>
      </c>
      <c r="H156" s="1">
        <v>1600</v>
      </c>
      <c r="I156" s="1">
        <f>IF(df_arabica_clean[[#This Row],[Altitude]] &lt;= 2500, df_arabica_clean[[#This Row],[Altitude]], ROUND(df_arabica_clean[[#This Row],[Altitude]] / 3.281, 0))</f>
        <v>1600</v>
      </c>
      <c r="J156" s="1" t="str">
        <f>IF(df_arabica_clean[[#This Row],[Altitude]]&gt;2500,"Convertido","Original")</f>
        <v>Original</v>
      </c>
      <c r="K156" s="1" t="s">
        <v>394</v>
      </c>
      <c r="L156" s="1" t="s">
        <v>395</v>
      </c>
      <c r="M156">
        <v>600</v>
      </c>
      <c r="N156" s="1" t="s">
        <v>106</v>
      </c>
      <c r="O156" s="1" t="s">
        <v>396</v>
      </c>
      <c r="P156" s="1" t="s">
        <v>134</v>
      </c>
      <c r="Q156" s="1" t="s">
        <v>397</v>
      </c>
      <c r="R156" s="1" t="s">
        <v>398</v>
      </c>
      <c r="S156" s="1" t="s">
        <v>184</v>
      </c>
      <c r="T156" s="1" t="s">
        <v>51</v>
      </c>
      <c r="U156" s="1" t="s">
        <v>67</v>
      </c>
      <c r="V156">
        <v>7.67</v>
      </c>
      <c r="W156">
        <v>8.08</v>
      </c>
      <c r="X156">
        <v>7.67</v>
      </c>
      <c r="Y156">
        <v>8</v>
      </c>
      <c r="Z156">
        <v>7.92</v>
      </c>
      <c r="AA156">
        <v>7.83</v>
      </c>
      <c r="AB156">
        <v>10</v>
      </c>
      <c r="AC156">
        <v>10</v>
      </c>
      <c r="AD156">
        <v>10</v>
      </c>
      <c r="AE156">
        <v>7.83</v>
      </c>
      <c r="AF156">
        <v>85</v>
      </c>
      <c r="AG156">
        <v>9.9</v>
      </c>
      <c r="AH156">
        <v>0</v>
      </c>
      <c r="AI156">
        <v>1</v>
      </c>
      <c r="AJ156" s="1" t="s">
        <v>53</v>
      </c>
      <c r="AK156">
        <v>1</v>
      </c>
      <c r="AL156" s="1" t="s">
        <v>399</v>
      </c>
      <c r="AM156" s="1" t="s">
        <v>396</v>
      </c>
      <c r="AN156" s="1" t="s">
        <v>400</v>
      </c>
      <c r="AO156" s="1" t="s">
        <v>401</v>
      </c>
      <c r="AP156" s="5">
        <f>AVERAGEIF(df_arabica_clean[Country of Origin],df_arabica_clean[[#This Row],[Country of Origin]],df_arabica_clean[Total Cup Points])</f>
        <v>84.301428571428573</v>
      </c>
      <c r="AQ156" s="1">
        <f>+COUNTIF(df_arabica_clean[Country of Origin],df_arabica_clean[[#This Row],[Country of Origin]])</f>
        <v>21</v>
      </c>
    </row>
    <row r="157" spans="1:43" x14ac:dyDescent="0.25">
      <c r="A157">
        <v>5</v>
      </c>
      <c r="B157">
        <v>5</v>
      </c>
      <c r="C157" s="1" t="s">
        <v>100</v>
      </c>
      <c r="D157" s="1" t="s">
        <v>101</v>
      </c>
      <c r="E157" s="1" t="s">
        <v>102</v>
      </c>
      <c r="F157" s="1" t="s">
        <v>103</v>
      </c>
      <c r="G157" s="1" t="s">
        <v>60</v>
      </c>
      <c r="H157" s="1">
        <v>1668</v>
      </c>
      <c r="I157" s="1">
        <f>IF(df_arabica_clean[[#This Row],[Altitude]] &lt;= 2500, df_arabica_clean[[#This Row],[Altitude]], ROUND(df_arabica_clean[[#This Row],[Altitude]] / 3.281, 0))</f>
        <v>1668</v>
      </c>
      <c r="J157" s="1" t="str">
        <f>IF(df_arabica_clean[[#This Row],[Altitude]]&gt;2500,"Convertido","Original")</f>
        <v>Original</v>
      </c>
      <c r="K157" s="1" t="s">
        <v>104</v>
      </c>
      <c r="L157" s="1" t="s">
        <v>105</v>
      </c>
      <c r="M157">
        <v>5</v>
      </c>
      <c r="N157" s="1" t="s">
        <v>106</v>
      </c>
      <c r="O157" s="1" t="s">
        <v>64</v>
      </c>
      <c r="P157" s="1" t="s">
        <v>89</v>
      </c>
      <c r="Q157" s="1" t="s">
        <v>65</v>
      </c>
      <c r="R157" s="1" t="s">
        <v>64</v>
      </c>
      <c r="S157" s="1" t="s">
        <v>66</v>
      </c>
      <c r="T157" s="1" t="s">
        <v>51</v>
      </c>
      <c r="U157" s="1" t="s">
        <v>67</v>
      </c>
      <c r="V157">
        <v>8.33</v>
      </c>
      <c r="W157">
        <v>8.33</v>
      </c>
      <c r="X157">
        <v>8.25</v>
      </c>
      <c r="Y157">
        <v>7.83</v>
      </c>
      <c r="Z157">
        <v>7.83</v>
      </c>
      <c r="AA157">
        <v>8.17</v>
      </c>
      <c r="AB157">
        <v>10</v>
      </c>
      <c r="AC157">
        <v>10</v>
      </c>
      <c r="AD157">
        <v>10</v>
      </c>
      <c r="AE157">
        <v>8.25</v>
      </c>
      <c r="AF157">
        <v>87</v>
      </c>
      <c r="AG157">
        <v>10.7</v>
      </c>
      <c r="AH157">
        <v>0</v>
      </c>
      <c r="AI157">
        <v>0</v>
      </c>
      <c r="AJ157" s="1" t="s">
        <v>53</v>
      </c>
      <c r="AK157">
        <v>2</v>
      </c>
      <c r="AL157" s="1" t="s">
        <v>69</v>
      </c>
      <c r="AM157" s="1" t="s">
        <v>64</v>
      </c>
      <c r="AN157" s="1" t="s">
        <v>70</v>
      </c>
      <c r="AO157" s="1" t="s">
        <v>71</v>
      </c>
      <c r="AP157" s="5">
        <f>AVERAGEIF(df_arabica_clean[Country of Origin],df_arabica_clean[[#This Row],[Country of Origin]],df_arabica_clean[Total Cup Points])</f>
        <v>84.301428571428573</v>
      </c>
      <c r="AQ157" s="1">
        <f>+COUNTIF(df_arabica_clean[Country of Origin],df_arabica_clean[[#This Row],[Country of Origin]])</f>
        <v>21</v>
      </c>
    </row>
    <row r="158" spans="1:43" hidden="1" x14ac:dyDescent="0.25">
      <c r="A158">
        <v>41</v>
      </c>
      <c r="B158">
        <v>41</v>
      </c>
      <c r="C158" s="1" t="s">
        <v>57</v>
      </c>
      <c r="D158" s="1" t="s">
        <v>353</v>
      </c>
      <c r="E158" s="1" t="s">
        <v>354</v>
      </c>
      <c r="F158" s="1" t="s">
        <v>355</v>
      </c>
      <c r="G158" s="1" t="s">
        <v>356</v>
      </c>
      <c r="H158" s="1">
        <v>1000</v>
      </c>
      <c r="I158" s="1">
        <f>IF(df_arabica_clean[[#This Row],[Altitude]] &lt;= 2500, df_arabica_clean[[#This Row],[Altitude]], ROUND(df_arabica_clean[[#This Row],[Altitude]] / 3.281, 0))</f>
        <v>1000</v>
      </c>
      <c r="J158" s="1" t="str">
        <f>IF(df_arabica_clean[[#This Row],[Altitude]]&gt;2500,"Convertido","Original")</f>
        <v>Original</v>
      </c>
      <c r="K158" s="1" t="s">
        <v>357</v>
      </c>
      <c r="L158" s="1" t="s">
        <v>358</v>
      </c>
      <c r="M158">
        <v>1</v>
      </c>
      <c r="N158" s="1" t="s">
        <v>202</v>
      </c>
      <c r="O158" s="1" t="s">
        <v>64</v>
      </c>
      <c r="P158" s="1" t="s">
        <v>48</v>
      </c>
      <c r="Q158" s="1" t="s">
        <v>359</v>
      </c>
      <c r="R158" s="1" t="s">
        <v>360</v>
      </c>
      <c r="S158" s="1" t="s">
        <v>231</v>
      </c>
      <c r="T158" s="1" t="s">
        <v>51</v>
      </c>
      <c r="U158" s="1" t="s">
        <v>67</v>
      </c>
      <c r="V158">
        <v>8</v>
      </c>
      <c r="W158">
        <v>8.08</v>
      </c>
      <c r="X158">
        <v>7.67</v>
      </c>
      <c r="Y158">
        <v>7.75</v>
      </c>
      <c r="Z158">
        <v>7.92</v>
      </c>
      <c r="AA158">
        <v>7.83</v>
      </c>
      <c r="AB158">
        <v>10</v>
      </c>
      <c r="AC158">
        <v>10</v>
      </c>
      <c r="AD158">
        <v>10</v>
      </c>
      <c r="AE158">
        <v>7.83</v>
      </c>
      <c r="AF158">
        <v>85.08</v>
      </c>
      <c r="AG158">
        <v>10.5</v>
      </c>
      <c r="AH158">
        <v>0</v>
      </c>
      <c r="AI158">
        <v>0</v>
      </c>
      <c r="AJ158" s="1" t="s">
        <v>125</v>
      </c>
      <c r="AK158">
        <v>0</v>
      </c>
      <c r="AL158" s="1" t="s">
        <v>361</v>
      </c>
      <c r="AM158" s="1" t="s">
        <v>64</v>
      </c>
      <c r="AN158" s="1" t="s">
        <v>70</v>
      </c>
      <c r="AO158" s="1" t="s">
        <v>71</v>
      </c>
      <c r="AP158" s="4">
        <f>AVERAGEIF(df_arabica_clean[Country of Origin],df_arabica_clean[[#This Row],[Country of Origin]],df_arabica_clean[Total Cup Points])</f>
        <v>84.350327868852446</v>
      </c>
      <c r="AQ158" s="1">
        <f>+COUNTIF(df_arabica_clean[Country of Origin],df_arabica_clean[[#This Row],[Country of Origin]])</f>
        <v>61</v>
      </c>
    </row>
    <row r="159" spans="1:43" x14ac:dyDescent="0.25">
      <c r="A159">
        <v>94</v>
      </c>
      <c r="B159">
        <v>94</v>
      </c>
      <c r="C159" s="1" t="s">
        <v>100</v>
      </c>
      <c r="D159" s="1" t="s">
        <v>686</v>
      </c>
      <c r="E159" s="1" t="s">
        <v>687</v>
      </c>
      <c r="F159" s="1" t="s">
        <v>688</v>
      </c>
      <c r="G159" s="1" t="s">
        <v>60</v>
      </c>
      <c r="H159" s="1">
        <v>1900</v>
      </c>
      <c r="I159" s="1">
        <f>IF(df_arabica_clean[[#This Row],[Altitude]] &lt;= 2500, df_arabica_clean[[#This Row],[Altitude]], ROUND(df_arabica_clean[[#This Row],[Altitude]] / 3.281, 0))</f>
        <v>1900</v>
      </c>
      <c r="J159" s="1" t="str">
        <f>IF(df_arabica_clean[[#This Row],[Altitude]]&gt;2500,"Convertido","Original")</f>
        <v>Original</v>
      </c>
      <c r="K159" s="1" t="s">
        <v>689</v>
      </c>
      <c r="L159" s="1" t="s">
        <v>690</v>
      </c>
      <c r="M159">
        <v>1</v>
      </c>
      <c r="N159" s="1" t="s">
        <v>157</v>
      </c>
      <c r="O159" s="1" t="s">
        <v>64</v>
      </c>
      <c r="P159" s="1" t="s">
        <v>158</v>
      </c>
      <c r="Q159" s="1" t="s">
        <v>65</v>
      </c>
      <c r="R159" s="1" t="s">
        <v>64</v>
      </c>
      <c r="S159" s="1" t="s">
        <v>66</v>
      </c>
      <c r="T159" s="1" t="s">
        <v>51</v>
      </c>
      <c r="U159" s="1" t="s">
        <v>118</v>
      </c>
      <c r="V159">
        <v>7.83</v>
      </c>
      <c r="W159">
        <v>7.83</v>
      </c>
      <c r="X159">
        <v>7.58</v>
      </c>
      <c r="Y159">
        <v>7.67</v>
      </c>
      <c r="Z159">
        <v>7.67</v>
      </c>
      <c r="AA159">
        <v>7.58</v>
      </c>
      <c r="AB159">
        <v>10</v>
      </c>
      <c r="AC159">
        <v>10</v>
      </c>
      <c r="AD159">
        <v>10</v>
      </c>
      <c r="AE159">
        <v>7.75</v>
      </c>
      <c r="AF159">
        <v>83.92</v>
      </c>
      <c r="AG159">
        <v>11.9</v>
      </c>
      <c r="AH159">
        <v>0</v>
      </c>
      <c r="AI159">
        <v>0</v>
      </c>
      <c r="AJ159" s="1" t="s">
        <v>125</v>
      </c>
      <c r="AK159">
        <v>0</v>
      </c>
      <c r="AL159" s="1" t="s">
        <v>69</v>
      </c>
      <c r="AM159" s="1" t="s">
        <v>64</v>
      </c>
      <c r="AN159" s="1" t="s">
        <v>70</v>
      </c>
      <c r="AO159" s="1" t="s">
        <v>71</v>
      </c>
      <c r="AP159" s="5">
        <f>AVERAGEIF(df_arabica_clean[Country of Origin],df_arabica_clean[[#This Row],[Country of Origin]],df_arabica_clean[Total Cup Points])</f>
        <v>84.301428571428573</v>
      </c>
      <c r="AQ159" s="1">
        <f>+COUNTIF(df_arabica_clean[Country of Origin],df_arabica_clean[[#This Row],[Country of Origin]])</f>
        <v>21</v>
      </c>
    </row>
    <row r="160" spans="1:43" x14ac:dyDescent="0.25">
      <c r="A160">
        <v>20</v>
      </c>
      <c r="B160">
        <v>20</v>
      </c>
      <c r="C160" s="1" t="s">
        <v>100</v>
      </c>
      <c r="D160" s="1" t="s">
        <v>218</v>
      </c>
      <c r="E160" s="1" t="s">
        <v>219</v>
      </c>
      <c r="F160" s="1" t="s">
        <v>220</v>
      </c>
      <c r="G160" s="1" t="s">
        <v>60</v>
      </c>
      <c r="H160" s="1">
        <v>1900</v>
      </c>
      <c r="I160" s="1">
        <f>IF(df_arabica_clean[[#This Row],[Altitude]] &lt;= 2500, df_arabica_clean[[#This Row],[Altitude]], ROUND(df_arabica_clean[[#This Row],[Altitude]] / 3.281, 0))</f>
        <v>1900</v>
      </c>
      <c r="J160" s="1" t="str">
        <f>IF(df_arabica_clean[[#This Row],[Altitude]]&gt;2500,"Convertido","Original")</f>
        <v>Original</v>
      </c>
      <c r="K160" s="1" t="s">
        <v>221</v>
      </c>
      <c r="L160" s="1" t="s">
        <v>222</v>
      </c>
      <c r="M160">
        <v>8</v>
      </c>
      <c r="N160" s="1" t="s">
        <v>106</v>
      </c>
      <c r="O160" s="1" t="s">
        <v>64</v>
      </c>
      <c r="P160" s="1" t="s">
        <v>48</v>
      </c>
      <c r="Q160" s="1" t="s">
        <v>65</v>
      </c>
      <c r="R160" s="1" t="s">
        <v>223</v>
      </c>
      <c r="S160" s="1" t="s">
        <v>66</v>
      </c>
      <c r="T160" s="1" t="s">
        <v>51</v>
      </c>
      <c r="U160" s="1" t="s">
        <v>118</v>
      </c>
      <c r="V160">
        <v>8</v>
      </c>
      <c r="W160">
        <v>7.92</v>
      </c>
      <c r="X160">
        <v>8.08</v>
      </c>
      <c r="Y160">
        <v>7.92</v>
      </c>
      <c r="Z160">
        <v>7.75</v>
      </c>
      <c r="AA160">
        <v>8</v>
      </c>
      <c r="AB160">
        <v>10</v>
      </c>
      <c r="AC160">
        <v>10</v>
      </c>
      <c r="AD160">
        <v>10</v>
      </c>
      <c r="AE160">
        <v>8.08</v>
      </c>
      <c r="AF160">
        <v>85.75</v>
      </c>
      <c r="AG160">
        <v>11.6</v>
      </c>
      <c r="AH160">
        <v>0</v>
      </c>
      <c r="AI160">
        <v>0</v>
      </c>
      <c r="AJ160" s="1" t="s">
        <v>81</v>
      </c>
      <c r="AK160">
        <v>0</v>
      </c>
      <c r="AL160" s="1" t="s">
        <v>69</v>
      </c>
      <c r="AM160" s="1" t="s">
        <v>64</v>
      </c>
      <c r="AN160" s="1" t="s">
        <v>70</v>
      </c>
      <c r="AO160" s="1" t="s">
        <v>71</v>
      </c>
      <c r="AP160" s="5">
        <f>AVERAGEIF(df_arabica_clean[Country of Origin],df_arabica_clean[[#This Row],[Country of Origin]],df_arabica_clean[Total Cup Points])</f>
        <v>84.301428571428573</v>
      </c>
      <c r="AQ160" s="1">
        <f>+COUNTIF(df_arabica_clean[Country of Origin],df_arabica_clean[[#This Row],[Country of Origin]])</f>
        <v>21</v>
      </c>
    </row>
    <row r="161" spans="1:43" hidden="1" x14ac:dyDescent="0.25">
      <c r="A161">
        <v>146</v>
      </c>
      <c r="B161">
        <v>146</v>
      </c>
      <c r="C161" s="1" t="s">
        <v>541</v>
      </c>
      <c r="D161" s="1" t="s">
        <v>941</v>
      </c>
      <c r="E161" s="1" t="s">
        <v>942</v>
      </c>
      <c r="F161" s="1" t="s">
        <v>943</v>
      </c>
      <c r="G161" s="1" t="s">
        <v>943</v>
      </c>
      <c r="H161" s="1">
        <v>900</v>
      </c>
      <c r="I161" s="1">
        <f>IF(df_arabica_clean[[#This Row],[Altitude]] &lt;= 2500, df_arabica_clean[[#This Row],[Altitude]], ROUND(df_arabica_clean[[#This Row],[Altitude]] / 3.281, 0))</f>
        <v>900</v>
      </c>
      <c r="J161" s="1" t="str">
        <f>IF(df_arabica_clean[[#This Row],[Altitude]]&gt;2500,"Convertido","Original")</f>
        <v>Original</v>
      </c>
      <c r="K161" s="1" t="s">
        <v>944</v>
      </c>
      <c r="L161" s="1" t="s">
        <v>945</v>
      </c>
      <c r="M161">
        <v>22</v>
      </c>
      <c r="N161" s="1" t="s">
        <v>132</v>
      </c>
      <c r="O161" s="1" t="s">
        <v>526</v>
      </c>
      <c r="P161" s="1" t="s">
        <v>48</v>
      </c>
      <c r="Q161" s="1" t="s">
        <v>946</v>
      </c>
      <c r="R161" s="1" t="s">
        <v>947</v>
      </c>
      <c r="S161" s="1" t="s">
        <v>243</v>
      </c>
      <c r="T161" s="1" t="s">
        <v>51</v>
      </c>
      <c r="U161" s="1" t="s">
        <v>188</v>
      </c>
      <c r="V161">
        <v>7.58</v>
      </c>
      <c r="W161">
        <v>7.42</v>
      </c>
      <c r="X161">
        <v>7.58</v>
      </c>
      <c r="Y161">
        <v>7.5</v>
      </c>
      <c r="Z161">
        <v>7.67</v>
      </c>
      <c r="AA161">
        <v>7.75</v>
      </c>
      <c r="AB161">
        <v>10</v>
      </c>
      <c r="AC161">
        <v>10</v>
      </c>
      <c r="AD161">
        <v>10</v>
      </c>
      <c r="AE161">
        <v>7.33</v>
      </c>
      <c r="AF161">
        <v>82.83</v>
      </c>
      <c r="AG161">
        <v>13.3</v>
      </c>
      <c r="AH161">
        <v>0</v>
      </c>
      <c r="AI161">
        <v>0</v>
      </c>
      <c r="AJ161" s="1" t="s">
        <v>53</v>
      </c>
      <c r="AK161">
        <v>4</v>
      </c>
      <c r="AL161" s="1" t="s">
        <v>948</v>
      </c>
      <c r="AM161" s="1" t="s">
        <v>526</v>
      </c>
      <c r="AN161" s="1" t="s">
        <v>531</v>
      </c>
      <c r="AO161" s="1" t="s">
        <v>532</v>
      </c>
      <c r="AP161" s="1">
        <f>AVERAGEIF(df_arabica_clean[Country of Origin],df_arabica_clean[[#This Row],[Country of Origin]],df_arabica_clean[Total Cup Points])</f>
        <v>82.892499999999998</v>
      </c>
      <c r="AQ161" s="1">
        <f>+COUNTIF(df_arabica_clean[Country of Origin],df_arabica_clean[[#This Row],[Country of Origin]])</f>
        <v>4</v>
      </c>
    </row>
    <row r="162" spans="1:43" x14ac:dyDescent="0.25">
      <c r="A162">
        <v>11</v>
      </c>
      <c r="B162">
        <v>11</v>
      </c>
      <c r="C162" s="1" t="s">
        <v>100</v>
      </c>
      <c r="D162" s="1" t="s">
        <v>152</v>
      </c>
      <c r="E162" s="1" t="s">
        <v>153</v>
      </c>
      <c r="F162" s="1" t="s">
        <v>154</v>
      </c>
      <c r="G162" s="1" t="s">
        <v>60</v>
      </c>
      <c r="H162" s="1">
        <v>2000</v>
      </c>
      <c r="I162" s="1">
        <f>IF(df_arabica_clean[[#This Row],[Altitude]] &lt;= 2500, df_arabica_clean[[#This Row],[Altitude]], ROUND(df_arabica_clean[[#This Row],[Altitude]] / 3.281, 0))</f>
        <v>2000</v>
      </c>
      <c r="J162" s="1" t="str">
        <f>IF(df_arabica_clean[[#This Row],[Altitude]]&gt;2500,"Convertido","Original")</f>
        <v>Original</v>
      </c>
      <c r="K162" s="1" t="s">
        <v>155</v>
      </c>
      <c r="L162" s="1" t="s">
        <v>156</v>
      </c>
      <c r="M162">
        <v>5</v>
      </c>
      <c r="N162" s="1" t="s">
        <v>157</v>
      </c>
      <c r="O162" s="1" t="s">
        <v>64</v>
      </c>
      <c r="P162" s="1" t="s">
        <v>158</v>
      </c>
      <c r="Q162" s="1" t="s">
        <v>65</v>
      </c>
      <c r="R162" s="1" t="s">
        <v>159</v>
      </c>
      <c r="S162" s="1" t="s">
        <v>66</v>
      </c>
      <c r="T162" s="1" t="s">
        <v>51</v>
      </c>
      <c r="U162" s="1" t="s">
        <v>118</v>
      </c>
      <c r="V162">
        <v>8.08</v>
      </c>
      <c r="W162">
        <v>8</v>
      </c>
      <c r="X162">
        <v>8</v>
      </c>
      <c r="Y162">
        <v>7.75</v>
      </c>
      <c r="Z162">
        <v>8.25</v>
      </c>
      <c r="AA162">
        <v>8.17</v>
      </c>
      <c r="AB162">
        <v>10</v>
      </c>
      <c r="AC162">
        <v>10</v>
      </c>
      <c r="AD162">
        <v>10</v>
      </c>
      <c r="AE162">
        <v>8</v>
      </c>
      <c r="AF162">
        <v>86.25</v>
      </c>
      <c r="AG162">
        <v>11.5</v>
      </c>
      <c r="AH162">
        <v>0</v>
      </c>
      <c r="AI162">
        <v>0</v>
      </c>
      <c r="AJ162" s="1" t="s">
        <v>160</v>
      </c>
      <c r="AK162">
        <v>1</v>
      </c>
      <c r="AL162" s="1" t="s">
        <v>69</v>
      </c>
      <c r="AM162" s="1" t="s">
        <v>64</v>
      </c>
      <c r="AN162" s="1" t="s">
        <v>70</v>
      </c>
      <c r="AO162" s="1" t="s">
        <v>71</v>
      </c>
      <c r="AP162" s="5">
        <f>AVERAGEIF(df_arabica_clean[Country of Origin],df_arabica_clean[[#This Row],[Country of Origin]],df_arabica_clean[Total Cup Points])</f>
        <v>84.301428571428573</v>
      </c>
      <c r="AQ162" s="1">
        <f>+COUNTIF(df_arabica_clean[Country of Origin],df_arabica_clean[[#This Row],[Country of Origin]])</f>
        <v>21</v>
      </c>
    </row>
    <row r="163" spans="1:43" hidden="1" x14ac:dyDescent="0.25">
      <c r="A163">
        <v>39</v>
      </c>
      <c r="B163">
        <v>39</v>
      </c>
      <c r="C163" s="1" t="s">
        <v>57</v>
      </c>
      <c r="D163" s="1" t="s">
        <v>343</v>
      </c>
      <c r="E163" s="1" t="s">
        <v>197</v>
      </c>
      <c r="F163" s="1" t="s">
        <v>198</v>
      </c>
      <c r="G163" s="1" t="s">
        <v>211</v>
      </c>
      <c r="H163" s="1">
        <v>850</v>
      </c>
      <c r="I163" s="1">
        <f>IF(df_arabica_clean[[#This Row],[Altitude]] &lt;= 2500, df_arabica_clean[[#This Row],[Altitude]], ROUND(df_arabica_clean[[#This Row],[Altitude]] / 3.281, 0))</f>
        <v>850</v>
      </c>
      <c r="J163" s="1" t="str">
        <f>IF(df_arabica_clean[[#This Row],[Altitude]]&gt;2500,"Convertido","Original")</f>
        <v>Original</v>
      </c>
      <c r="K163" s="1" t="s">
        <v>344</v>
      </c>
      <c r="L163" s="1" t="s">
        <v>345</v>
      </c>
      <c r="M163">
        <v>20</v>
      </c>
      <c r="N163" s="1" t="s">
        <v>214</v>
      </c>
      <c r="O163" s="1" t="s">
        <v>203</v>
      </c>
      <c r="P163" s="1" t="s">
        <v>346</v>
      </c>
      <c r="Q163" s="1" t="s">
        <v>204</v>
      </c>
      <c r="R163" s="1" t="s">
        <v>347</v>
      </c>
      <c r="S163" s="1" t="s">
        <v>66</v>
      </c>
      <c r="T163" s="1" t="s">
        <v>51</v>
      </c>
      <c r="U163" s="1" t="s">
        <v>67</v>
      </c>
      <c r="V163">
        <v>7.75</v>
      </c>
      <c r="W163">
        <v>7.92</v>
      </c>
      <c r="X163">
        <v>7.75</v>
      </c>
      <c r="Y163">
        <v>8</v>
      </c>
      <c r="Z163">
        <v>7.83</v>
      </c>
      <c r="AA163">
        <v>7.92</v>
      </c>
      <c r="AB163">
        <v>10</v>
      </c>
      <c r="AC163">
        <v>10</v>
      </c>
      <c r="AD163">
        <v>10</v>
      </c>
      <c r="AE163">
        <v>8</v>
      </c>
      <c r="AF163">
        <v>85.17</v>
      </c>
      <c r="AG163">
        <v>10.3</v>
      </c>
      <c r="AH163">
        <v>0</v>
      </c>
      <c r="AI163">
        <v>0</v>
      </c>
      <c r="AJ163" s="1" t="s">
        <v>257</v>
      </c>
      <c r="AK163">
        <v>0</v>
      </c>
      <c r="AL163" s="1" t="s">
        <v>206</v>
      </c>
      <c r="AM163" s="1" t="s">
        <v>203</v>
      </c>
      <c r="AN163" s="1" t="s">
        <v>207</v>
      </c>
      <c r="AO163" s="1" t="s">
        <v>208</v>
      </c>
      <c r="AP163" s="1">
        <f>AVERAGEIF(df_arabica_clean[Country of Origin],df_arabica_clean[[#This Row],[Country of Origin]],df_arabica_clean[Total Cup Points])</f>
        <v>84.350327868852446</v>
      </c>
      <c r="AQ163" s="1">
        <f>+COUNTIF(df_arabica_clean[Country of Origin],df_arabica_clean[[#This Row],[Country of Origin]])</f>
        <v>61</v>
      </c>
    </row>
    <row r="164" spans="1:43" x14ac:dyDescent="0.25">
      <c r="A164">
        <v>47</v>
      </c>
      <c r="B164">
        <v>47</v>
      </c>
      <c r="C164" s="1" t="s">
        <v>100</v>
      </c>
      <c r="D164" s="1" t="s">
        <v>402</v>
      </c>
      <c r="E164" s="1" t="s">
        <v>403</v>
      </c>
      <c r="F164" s="1" t="s">
        <v>404</v>
      </c>
      <c r="G164" s="1" t="s">
        <v>405</v>
      </c>
      <c r="H164" s="1">
        <v>4700</v>
      </c>
      <c r="I164" s="1">
        <f>IF(df_arabica_clean[[#This Row],[Altitude]] &lt;= 2500, df_arabica_clean[[#This Row],[Altitude]], ROUND(df_arabica_clean[[#This Row],[Altitude]] / 3.281, 0))</f>
        <v>1432</v>
      </c>
      <c r="J164" s="1" t="str">
        <f>IF(df_arabica_clean[[#This Row],[Altitude]]&gt;2500,"Convertido","Original")</f>
        <v>Convertido</v>
      </c>
      <c r="K164" s="1" t="s">
        <v>406</v>
      </c>
      <c r="L164" s="1" t="s">
        <v>407</v>
      </c>
      <c r="M164">
        <v>632</v>
      </c>
      <c r="N164" s="1" t="s">
        <v>106</v>
      </c>
      <c r="O164" s="1" t="s">
        <v>396</v>
      </c>
      <c r="P164" s="1" t="s">
        <v>134</v>
      </c>
      <c r="Q164" s="1" t="s">
        <v>408</v>
      </c>
      <c r="R164" s="1" t="s">
        <v>398</v>
      </c>
      <c r="S164" s="1" t="s">
        <v>409</v>
      </c>
      <c r="T164" s="1" t="s">
        <v>51</v>
      </c>
      <c r="U164" s="1" t="s">
        <v>67</v>
      </c>
      <c r="V164">
        <v>7.67</v>
      </c>
      <c r="W164">
        <v>8</v>
      </c>
      <c r="X164">
        <v>7.75</v>
      </c>
      <c r="Y164">
        <v>7.92</v>
      </c>
      <c r="Z164">
        <v>8</v>
      </c>
      <c r="AA164">
        <v>7.83</v>
      </c>
      <c r="AB164">
        <v>10</v>
      </c>
      <c r="AC164">
        <v>10</v>
      </c>
      <c r="AD164">
        <v>10</v>
      </c>
      <c r="AE164">
        <v>7.83</v>
      </c>
      <c r="AF164">
        <v>85</v>
      </c>
      <c r="AG164">
        <v>11.3</v>
      </c>
      <c r="AH164">
        <v>0</v>
      </c>
      <c r="AI164">
        <v>0</v>
      </c>
      <c r="AJ164" s="1" t="s">
        <v>53</v>
      </c>
      <c r="AK164">
        <v>4</v>
      </c>
      <c r="AL164" s="1" t="s">
        <v>410</v>
      </c>
      <c r="AM164" s="1" t="s">
        <v>396</v>
      </c>
      <c r="AN164" s="1" t="s">
        <v>400</v>
      </c>
      <c r="AO164" s="1" t="s">
        <v>401</v>
      </c>
      <c r="AP164" s="5">
        <f>AVERAGEIF(df_arabica_clean[Country of Origin],df_arabica_clean[[#This Row],[Country of Origin]],df_arabica_clean[Total Cup Points])</f>
        <v>84.301428571428573</v>
      </c>
      <c r="AQ164" s="1">
        <f>+COUNTIF(df_arabica_clean[Country of Origin],df_arabica_clean[[#This Row],[Country of Origin]])</f>
        <v>21</v>
      </c>
    </row>
    <row r="165" spans="1:43" hidden="1" x14ac:dyDescent="0.25">
      <c r="A165">
        <v>73</v>
      </c>
      <c r="B165">
        <v>73</v>
      </c>
      <c r="C165" s="1" t="s">
        <v>57</v>
      </c>
      <c r="D165" s="1" t="s">
        <v>343</v>
      </c>
      <c r="E165" s="1" t="s">
        <v>579</v>
      </c>
      <c r="F165" s="1" t="s">
        <v>343</v>
      </c>
      <c r="G165" s="1" t="s">
        <v>60</v>
      </c>
      <c r="H165" s="1">
        <v>850</v>
      </c>
      <c r="I165" s="1">
        <f>IF(df_arabica_clean[[#This Row],[Altitude]] &lt;= 2500, df_arabica_clean[[#This Row],[Altitude]], ROUND(df_arabica_clean[[#This Row],[Altitude]] / 3.281, 0))</f>
        <v>850</v>
      </c>
      <c r="J165" s="1" t="str">
        <f>IF(df_arabica_clean[[#This Row],[Altitude]]&gt;2500,"Convertido","Original")</f>
        <v>Original</v>
      </c>
      <c r="K165" s="1" t="s">
        <v>164</v>
      </c>
      <c r="L165" s="1" t="s">
        <v>345</v>
      </c>
      <c r="M165">
        <v>1</v>
      </c>
      <c r="N165" s="1" t="s">
        <v>274</v>
      </c>
      <c r="O165" s="1" t="s">
        <v>64</v>
      </c>
      <c r="P165" s="1" t="s">
        <v>48</v>
      </c>
      <c r="Q165" s="1" t="s">
        <v>65</v>
      </c>
      <c r="R165" s="1" t="s">
        <v>64</v>
      </c>
      <c r="S165" s="1" t="s">
        <v>66</v>
      </c>
      <c r="T165" s="1" t="s">
        <v>51</v>
      </c>
      <c r="U165" s="1" t="s">
        <v>67</v>
      </c>
      <c r="V165">
        <v>7.83</v>
      </c>
      <c r="W165">
        <v>8</v>
      </c>
      <c r="X165">
        <v>7.5</v>
      </c>
      <c r="Y165">
        <v>7.75</v>
      </c>
      <c r="Z165">
        <v>7.75</v>
      </c>
      <c r="AA165">
        <v>7.75</v>
      </c>
      <c r="AB165">
        <v>10</v>
      </c>
      <c r="AC165">
        <v>10</v>
      </c>
      <c r="AD165">
        <v>10</v>
      </c>
      <c r="AE165">
        <v>7.83</v>
      </c>
      <c r="AF165">
        <v>84.42</v>
      </c>
      <c r="AG165">
        <v>10.1</v>
      </c>
      <c r="AH165">
        <v>0</v>
      </c>
      <c r="AI165">
        <v>0</v>
      </c>
      <c r="AJ165" s="1" t="s">
        <v>257</v>
      </c>
      <c r="AK165">
        <v>1</v>
      </c>
      <c r="AL165" s="1" t="s">
        <v>69</v>
      </c>
      <c r="AM165" s="1" t="s">
        <v>64</v>
      </c>
      <c r="AN165" s="1" t="s">
        <v>70</v>
      </c>
      <c r="AO165" s="1" t="s">
        <v>71</v>
      </c>
      <c r="AP165" s="4">
        <f>AVERAGEIF(df_arabica_clean[Country of Origin],df_arabica_clean[[#This Row],[Country of Origin]],df_arabica_clean[Total Cup Points])</f>
        <v>84.350327868852446</v>
      </c>
      <c r="AQ165" s="1">
        <f>+COUNTIF(df_arabica_clean[Country of Origin],df_arabica_clean[[#This Row],[Country of Origin]])</f>
        <v>61</v>
      </c>
    </row>
    <row r="166" spans="1:43" hidden="1" x14ac:dyDescent="0.25">
      <c r="A166">
        <v>21</v>
      </c>
      <c r="B166">
        <v>21</v>
      </c>
      <c r="C166" s="1" t="s">
        <v>57</v>
      </c>
      <c r="D166" s="1" t="s">
        <v>224</v>
      </c>
      <c r="E166" s="1" t="s">
        <v>225</v>
      </c>
      <c r="F166" s="1" t="s">
        <v>224</v>
      </c>
      <c r="G166" s="1" t="s">
        <v>60</v>
      </c>
      <c r="H166" s="1">
        <v>850</v>
      </c>
      <c r="I166" s="1">
        <f>IF(df_arabica_clean[[#This Row],[Altitude]] &lt;= 2500, df_arabica_clean[[#This Row],[Altitude]], ROUND(df_arabica_clean[[#This Row],[Altitude]] / 3.281, 0))</f>
        <v>850</v>
      </c>
      <c r="J166" s="1" t="str">
        <f>IF(df_arabica_clean[[#This Row],[Altitude]]&gt;2500,"Convertido","Original")</f>
        <v>Original</v>
      </c>
      <c r="K166" s="1" t="s">
        <v>226</v>
      </c>
      <c r="L166" s="1" t="s">
        <v>227</v>
      </c>
      <c r="M166">
        <v>1</v>
      </c>
      <c r="N166" s="1" t="s">
        <v>228</v>
      </c>
      <c r="O166" s="1" t="s">
        <v>64</v>
      </c>
      <c r="P166" s="1" t="s">
        <v>89</v>
      </c>
      <c r="Q166" s="1" t="s">
        <v>229</v>
      </c>
      <c r="R166" s="1" t="s">
        <v>230</v>
      </c>
      <c r="S166" s="1" t="s">
        <v>231</v>
      </c>
      <c r="T166" s="1" t="s">
        <v>51</v>
      </c>
      <c r="U166" s="1" t="s">
        <v>118</v>
      </c>
      <c r="V166">
        <v>8.08</v>
      </c>
      <c r="W166">
        <v>8</v>
      </c>
      <c r="X166">
        <v>7.92</v>
      </c>
      <c r="Y166">
        <v>7.92</v>
      </c>
      <c r="Z166">
        <v>8</v>
      </c>
      <c r="AA166">
        <v>7.83</v>
      </c>
      <c r="AB166">
        <v>10</v>
      </c>
      <c r="AC166">
        <v>10</v>
      </c>
      <c r="AD166">
        <v>10</v>
      </c>
      <c r="AE166">
        <v>7.92</v>
      </c>
      <c r="AF166">
        <v>85.67</v>
      </c>
      <c r="AG166">
        <v>10.4</v>
      </c>
      <c r="AH166">
        <v>0</v>
      </c>
      <c r="AI166">
        <v>0</v>
      </c>
      <c r="AJ166" s="1" t="s">
        <v>53</v>
      </c>
      <c r="AK166">
        <v>0</v>
      </c>
      <c r="AL166" s="1" t="s">
        <v>232</v>
      </c>
      <c r="AM166" s="1" t="s">
        <v>64</v>
      </c>
      <c r="AN166" s="1" t="s">
        <v>70</v>
      </c>
      <c r="AO166" s="1" t="s">
        <v>71</v>
      </c>
      <c r="AP166" s="4">
        <f>AVERAGEIF(df_arabica_clean[Country of Origin],df_arabica_clean[[#This Row],[Country of Origin]],df_arabica_clean[Total Cup Points])</f>
        <v>84.350327868852446</v>
      </c>
      <c r="AQ166" s="1">
        <f>+COUNTIF(df_arabica_clean[Country of Origin],df_arabica_clean[[#This Row],[Country of Origin]])</f>
        <v>61</v>
      </c>
    </row>
    <row r="167" spans="1:43" hidden="1" x14ac:dyDescent="0.25">
      <c r="A167">
        <v>175</v>
      </c>
      <c r="B167">
        <v>175</v>
      </c>
      <c r="C167" s="1" t="s">
        <v>233</v>
      </c>
      <c r="D167" s="1" t="s">
        <v>799</v>
      </c>
      <c r="E167" s="1" t="s">
        <v>1077</v>
      </c>
      <c r="F167" s="1" t="s">
        <v>372</v>
      </c>
      <c r="G167" s="1" t="s">
        <v>799</v>
      </c>
      <c r="H167" s="1">
        <v>800</v>
      </c>
      <c r="I167" s="1">
        <f>IF(df_arabica_clean[[#This Row],[Altitude]] &lt;= 2500, df_arabica_clean[[#This Row],[Altitude]], ROUND(df_arabica_clean[[#This Row],[Altitude]] / 3.281, 0))</f>
        <v>800</v>
      </c>
      <c r="J167" s="1" t="str">
        <f>IF(df_arabica_clean[[#This Row],[Altitude]]&gt;2500,"Convertido","Original")</f>
        <v>Original</v>
      </c>
      <c r="K167" s="1" t="s">
        <v>801</v>
      </c>
      <c r="L167" s="1" t="s">
        <v>799</v>
      </c>
      <c r="M167">
        <v>2</v>
      </c>
      <c r="N167" s="1" t="s">
        <v>214</v>
      </c>
      <c r="O167" s="1" t="s">
        <v>240</v>
      </c>
      <c r="P167" s="1" t="s">
        <v>89</v>
      </c>
      <c r="Q167" s="1" t="s">
        <v>802</v>
      </c>
      <c r="R167" s="1" t="s">
        <v>799</v>
      </c>
      <c r="S167" s="1" t="s">
        <v>243</v>
      </c>
      <c r="T167" s="1" t="s">
        <v>51</v>
      </c>
      <c r="U167" s="1" t="s">
        <v>67</v>
      </c>
      <c r="V167">
        <v>7.17</v>
      </c>
      <c r="W167">
        <v>7.5</v>
      </c>
      <c r="X167">
        <v>7.42</v>
      </c>
      <c r="Y167">
        <v>7.42</v>
      </c>
      <c r="Z167">
        <v>7.58</v>
      </c>
      <c r="AA167">
        <v>7.5</v>
      </c>
      <c r="AB167">
        <v>10</v>
      </c>
      <c r="AC167">
        <v>10</v>
      </c>
      <c r="AD167">
        <v>10</v>
      </c>
      <c r="AE167">
        <v>7.42</v>
      </c>
      <c r="AF167">
        <v>82</v>
      </c>
      <c r="AG167">
        <v>9.8000000000000007</v>
      </c>
      <c r="AH167">
        <v>0</v>
      </c>
      <c r="AI167">
        <v>0</v>
      </c>
      <c r="AJ167" s="1" t="s">
        <v>53</v>
      </c>
      <c r="AK167">
        <v>0</v>
      </c>
      <c r="AL167" s="1" t="s">
        <v>803</v>
      </c>
      <c r="AM167" s="1" t="s">
        <v>240</v>
      </c>
      <c r="AN167" s="1" t="s">
        <v>246</v>
      </c>
      <c r="AO167" s="1" t="s">
        <v>247</v>
      </c>
      <c r="AP167" s="1">
        <f>AVERAGEIF(df_arabica_clean[Country of Origin],df_arabica_clean[[#This Row],[Country of Origin]],df_arabica_clean[Total Cup Points])</f>
        <v>82.827499999999986</v>
      </c>
      <c r="AQ167" s="1">
        <f>+COUNTIF(df_arabica_clean[Country of Origin],df_arabica_clean[[#This Row],[Country of Origin]])</f>
        <v>12</v>
      </c>
    </row>
    <row r="168" spans="1:43" hidden="1" x14ac:dyDescent="0.25">
      <c r="A168">
        <v>45</v>
      </c>
      <c r="B168">
        <v>45</v>
      </c>
      <c r="C168" s="1" t="s">
        <v>57</v>
      </c>
      <c r="D168" s="1" t="s">
        <v>387</v>
      </c>
      <c r="E168" s="1" t="s">
        <v>388</v>
      </c>
      <c r="F168" s="1" t="s">
        <v>387</v>
      </c>
      <c r="G168" s="1" t="s">
        <v>60</v>
      </c>
      <c r="H168" s="1">
        <v>800</v>
      </c>
      <c r="I168" s="1">
        <f>IF(df_arabica_clean[[#This Row],[Altitude]] &lt;= 2500, df_arabica_clean[[#This Row],[Altitude]], ROUND(df_arabica_clean[[#This Row],[Altitude]] / 3.281, 0))</f>
        <v>800</v>
      </c>
      <c r="J168" s="1" t="str">
        <f>IF(df_arabica_clean[[#This Row],[Altitude]]&gt;2500,"Convertido","Original")</f>
        <v>Original</v>
      </c>
      <c r="K168" s="1" t="s">
        <v>164</v>
      </c>
      <c r="L168" s="1" t="s">
        <v>389</v>
      </c>
      <c r="M168">
        <v>6</v>
      </c>
      <c r="N168" s="1" t="s">
        <v>256</v>
      </c>
      <c r="O168" s="1" t="s">
        <v>64</v>
      </c>
      <c r="P168" s="1" t="s">
        <v>48</v>
      </c>
      <c r="Q168" s="1" t="s">
        <v>65</v>
      </c>
      <c r="R168" s="1" t="s">
        <v>64</v>
      </c>
      <c r="S168" s="1" t="s">
        <v>66</v>
      </c>
      <c r="T168" s="1" t="s">
        <v>51</v>
      </c>
      <c r="U168" s="1" t="s">
        <v>118</v>
      </c>
      <c r="V168">
        <v>8.17</v>
      </c>
      <c r="W168">
        <v>8.08</v>
      </c>
      <c r="X168">
        <v>7.83</v>
      </c>
      <c r="Y168">
        <v>7.67</v>
      </c>
      <c r="Z168">
        <v>7.67</v>
      </c>
      <c r="AA168">
        <v>7.75</v>
      </c>
      <c r="AB168">
        <v>10</v>
      </c>
      <c r="AC168">
        <v>10</v>
      </c>
      <c r="AD168">
        <v>10</v>
      </c>
      <c r="AE168">
        <v>7.83</v>
      </c>
      <c r="AF168">
        <v>85</v>
      </c>
      <c r="AG168">
        <v>10.1</v>
      </c>
      <c r="AH168">
        <v>0</v>
      </c>
      <c r="AI168">
        <v>0</v>
      </c>
      <c r="AJ168" s="1" t="s">
        <v>119</v>
      </c>
      <c r="AK168">
        <v>0</v>
      </c>
      <c r="AL168" s="1" t="s">
        <v>69</v>
      </c>
      <c r="AM168" s="1" t="s">
        <v>64</v>
      </c>
      <c r="AN168" s="1" t="s">
        <v>70</v>
      </c>
      <c r="AO168" s="1" t="s">
        <v>71</v>
      </c>
      <c r="AP168" s="1">
        <f>AVERAGEIF(df_arabica_clean[Country of Origin],df_arabica_clean[[#This Row],[Country of Origin]],df_arabica_clean[Total Cup Points])</f>
        <v>84.350327868852446</v>
      </c>
      <c r="AQ168" s="1">
        <f>+COUNTIF(df_arabica_clean[Country of Origin],df_arabica_clean[[#This Row],[Country of Origin]])</f>
        <v>61</v>
      </c>
    </row>
    <row r="169" spans="1:43" hidden="1" x14ac:dyDescent="0.25">
      <c r="A169">
        <v>85</v>
      </c>
      <c r="B169">
        <v>85</v>
      </c>
      <c r="C169" s="1" t="s">
        <v>57</v>
      </c>
      <c r="D169" s="1" t="s">
        <v>636</v>
      </c>
      <c r="E169" s="1" t="s">
        <v>637</v>
      </c>
      <c r="F169" s="1" t="s">
        <v>636</v>
      </c>
      <c r="G169" s="1" t="s">
        <v>60</v>
      </c>
      <c r="H169" s="1">
        <v>800</v>
      </c>
      <c r="I169" s="1">
        <f>IF(df_arabica_clean[[#This Row],[Altitude]] &lt;= 2500, df_arabica_clean[[#This Row],[Altitude]], ROUND(df_arabica_clean[[#This Row],[Altitude]] / 3.281, 0))</f>
        <v>800</v>
      </c>
      <c r="J169" s="1" t="str">
        <f>IF(df_arabica_clean[[#This Row],[Altitude]]&gt;2500,"Convertido","Original")</f>
        <v>Original</v>
      </c>
      <c r="K169" s="1" t="s">
        <v>164</v>
      </c>
      <c r="L169" s="1" t="s">
        <v>638</v>
      </c>
      <c r="M169">
        <v>1</v>
      </c>
      <c r="N169" s="1" t="s">
        <v>63</v>
      </c>
      <c r="O169" s="1" t="s">
        <v>64</v>
      </c>
      <c r="P169" s="1" t="s">
        <v>48</v>
      </c>
      <c r="Q169" s="1" t="s">
        <v>65</v>
      </c>
      <c r="R169" s="1" t="s">
        <v>64</v>
      </c>
      <c r="S169" s="1" t="s">
        <v>66</v>
      </c>
      <c r="T169" s="1" t="s">
        <v>51</v>
      </c>
      <c r="U169" s="1" t="s">
        <v>118</v>
      </c>
      <c r="V169">
        <v>7.92</v>
      </c>
      <c r="W169">
        <v>7.75</v>
      </c>
      <c r="X169">
        <v>7.67</v>
      </c>
      <c r="Y169">
        <v>7.75</v>
      </c>
      <c r="Z169">
        <v>7.75</v>
      </c>
      <c r="AA169">
        <v>8</v>
      </c>
      <c r="AB169">
        <v>9.33</v>
      </c>
      <c r="AC169">
        <v>10</v>
      </c>
      <c r="AD169">
        <v>10</v>
      </c>
      <c r="AE169">
        <v>7.92</v>
      </c>
      <c r="AF169">
        <v>84.08</v>
      </c>
      <c r="AG169">
        <v>10.6</v>
      </c>
      <c r="AH169">
        <v>0</v>
      </c>
      <c r="AI169">
        <v>0</v>
      </c>
      <c r="AJ169" s="1" t="s">
        <v>639</v>
      </c>
      <c r="AK169">
        <v>0</v>
      </c>
      <c r="AL169" s="1" t="s">
        <v>69</v>
      </c>
      <c r="AM169" s="1" t="s">
        <v>64</v>
      </c>
      <c r="AN169" s="1" t="s">
        <v>70</v>
      </c>
      <c r="AO169" s="1" t="s">
        <v>71</v>
      </c>
      <c r="AP169" s="1">
        <f>AVERAGEIF(df_arabica_clean[Country of Origin],df_arabica_clean[[#This Row],[Country of Origin]],df_arabica_clean[Total Cup Points])</f>
        <v>84.350327868852446</v>
      </c>
      <c r="AQ169" s="1">
        <f>+COUNTIF(df_arabica_clean[Country of Origin],df_arabica_clean[[#This Row],[Country of Origin]])</f>
        <v>61</v>
      </c>
    </row>
    <row r="170" spans="1:43" hidden="1" x14ac:dyDescent="0.25">
      <c r="A170">
        <v>42</v>
      </c>
      <c r="B170">
        <v>42</v>
      </c>
      <c r="C170" s="1" t="s">
        <v>57</v>
      </c>
      <c r="D170" s="1" t="s">
        <v>362</v>
      </c>
      <c r="E170" s="1" t="s">
        <v>363</v>
      </c>
      <c r="F170" s="1" t="s">
        <v>362</v>
      </c>
      <c r="G170" s="1" t="s">
        <v>364</v>
      </c>
      <c r="H170" s="1">
        <v>800</v>
      </c>
      <c r="I170" s="1">
        <f>IF(df_arabica_clean[[#This Row],[Altitude]] &lt;= 2500, df_arabica_clean[[#This Row],[Altitude]], ROUND(df_arabica_clean[[#This Row],[Altitude]] / 3.281, 0))</f>
        <v>800</v>
      </c>
      <c r="J170" s="1" t="str">
        <f>IF(df_arabica_clean[[#This Row],[Altitude]]&gt;2500,"Convertido","Original")</f>
        <v>Original</v>
      </c>
      <c r="K170" s="1" t="s">
        <v>365</v>
      </c>
      <c r="L170" s="1" t="s">
        <v>366</v>
      </c>
      <c r="M170">
        <v>1</v>
      </c>
      <c r="N170" s="1" t="s">
        <v>256</v>
      </c>
      <c r="O170" s="1" t="s">
        <v>64</v>
      </c>
      <c r="P170" s="1" t="s">
        <v>48</v>
      </c>
      <c r="Q170" s="1" t="s">
        <v>266</v>
      </c>
      <c r="R170" s="1" t="s">
        <v>367</v>
      </c>
      <c r="S170" s="1" t="s">
        <v>66</v>
      </c>
      <c r="T170" s="1" t="s">
        <v>51</v>
      </c>
      <c r="U170" s="1" t="s">
        <v>67</v>
      </c>
      <c r="V170">
        <v>8</v>
      </c>
      <c r="W170">
        <v>7.92</v>
      </c>
      <c r="X170">
        <v>7.67</v>
      </c>
      <c r="Y170">
        <v>8</v>
      </c>
      <c r="Z170">
        <v>7.75</v>
      </c>
      <c r="AA170">
        <v>7.83</v>
      </c>
      <c r="AB170">
        <v>10</v>
      </c>
      <c r="AC170">
        <v>10</v>
      </c>
      <c r="AD170">
        <v>10</v>
      </c>
      <c r="AE170">
        <v>7.92</v>
      </c>
      <c r="AF170">
        <v>85.08</v>
      </c>
      <c r="AG170">
        <v>10</v>
      </c>
      <c r="AH170">
        <v>0</v>
      </c>
      <c r="AI170">
        <v>0</v>
      </c>
      <c r="AJ170" s="1" t="s">
        <v>368</v>
      </c>
      <c r="AK170">
        <v>5</v>
      </c>
      <c r="AL170" s="1" t="s">
        <v>268</v>
      </c>
      <c r="AM170" s="1" t="s">
        <v>64</v>
      </c>
      <c r="AN170" s="1" t="s">
        <v>70</v>
      </c>
      <c r="AO170" s="1" t="s">
        <v>71</v>
      </c>
      <c r="AP170" s="1">
        <f>AVERAGEIF(df_arabica_clean[Country of Origin],df_arabica_clean[[#This Row],[Country of Origin]],df_arabica_clean[Total Cup Points])</f>
        <v>84.350327868852446</v>
      </c>
      <c r="AQ170" s="1">
        <f>+COUNTIF(df_arabica_clean[Country of Origin],df_arabica_clean[[#This Row],[Country of Origin]])</f>
        <v>61</v>
      </c>
    </row>
    <row r="171" spans="1:43" hidden="1" x14ac:dyDescent="0.25">
      <c r="A171">
        <v>126</v>
      </c>
      <c r="B171">
        <v>126</v>
      </c>
      <c r="C171" s="1" t="s">
        <v>57</v>
      </c>
      <c r="D171" s="1" t="s">
        <v>852</v>
      </c>
      <c r="E171" s="1" t="s">
        <v>853</v>
      </c>
      <c r="F171" s="1" t="s">
        <v>852</v>
      </c>
      <c r="G171" s="1" t="s">
        <v>60</v>
      </c>
      <c r="H171" s="1">
        <v>750</v>
      </c>
      <c r="I171" s="1">
        <f>IF(df_arabica_clean[[#This Row],[Altitude]] &lt;= 2500, df_arabica_clean[[#This Row],[Altitude]], ROUND(df_arabica_clean[[#This Row],[Altitude]] / 3.281, 0))</f>
        <v>750</v>
      </c>
      <c r="J171" s="1" t="str">
        <f>IF(df_arabica_clean[[#This Row],[Altitude]]&gt;2500,"Convertido","Original")</f>
        <v>Original</v>
      </c>
      <c r="K171" s="1" t="s">
        <v>164</v>
      </c>
      <c r="L171" s="1" t="s">
        <v>854</v>
      </c>
      <c r="M171">
        <v>1</v>
      </c>
      <c r="N171" s="1" t="s">
        <v>274</v>
      </c>
      <c r="O171" s="1" t="s">
        <v>64</v>
      </c>
      <c r="P171" s="1" t="s">
        <v>48</v>
      </c>
      <c r="Q171" s="1" t="s">
        <v>65</v>
      </c>
      <c r="R171" s="1" t="s">
        <v>855</v>
      </c>
      <c r="S171" s="1" t="s">
        <v>124</v>
      </c>
      <c r="T171" s="1" t="s">
        <v>51</v>
      </c>
      <c r="U171" s="1" t="s">
        <v>67</v>
      </c>
      <c r="V171">
        <v>7.75</v>
      </c>
      <c r="W171">
        <v>7.83</v>
      </c>
      <c r="X171">
        <v>7.58</v>
      </c>
      <c r="Y171">
        <v>7.58</v>
      </c>
      <c r="Z171">
        <v>7.58</v>
      </c>
      <c r="AA171">
        <v>7.5</v>
      </c>
      <c r="AB171">
        <v>10</v>
      </c>
      <c r="AC171">
        <v>10</v>
      </c>
      <c r="AD171">
        <v>10</v>
      </c>
      <c r="AE171">
        <v>7.5</v>
      </c>
      <c r="AF171">
        <v>83.33</v>
      </c>
      <c r="AG171">
        <v>10.7</v>
      </c>
      <c r="AH171">
        <v>0</v>
      </c>
      <c r="AI171">
        <v>0</v>
      </c>
      <c r="AJ171" s="1" t="s">
        <v>68</v>
      </c>
      <c r="AK171">
        <v>1</v>
      </c>
      <c r="AL171" s="1" t="s">
        <v>69</v>
      </c>
      <c r="AM171" s="1" t="s">
        <v>64</v>
      </c>
      <c r="AN171" s="1" t="s">
        <v>70</v>
      </c>
      <c r="AO171" s="1" t="s">
        <v>71</v>
      </c>
      <c r="AP171" s="4">
        <f>AVERAGEIF(df_arabica_clean[Country of Origin],df_arabica_clean[[#This Row],[Country of Origin]],df_arabica_clean[Total Cup Points])</f>
        <v>84.350327868852446</v>
      </c>
      <c r="AQ171" s="1">
        <f>+COUNTIF(df_arabica_clean[Country of Origin],df_arabica_clean[[#This Row],[Country of Origin]])</f>
        <v>61</v>
      </c>
    </row>
    <row r="172" spans="1:43" hidden="1" x14ac:dyDescent="0.25">
      <c r="A172">
        <v>63</v>
      </c>
      <c r="B172">
        <v>63</v>
      </c>
      <c r="C172" s="1" t="s">
        <v>57</v>
      </c>
      <c r="D172" s="1" t="s">
        <v>515</v>
      </c>
      <c r="E172" s="1" t="s">
        <v>298</v>
      </c>
      <c r="F172" s="1" t="s">
        <v>515</v>
      </c>
      <c r="G172" s="1" t="s">
        <v>60</v>
      </c>
      <c r="H172" s="1">
        <v>700</v>
      </c>
      <c r="I172" s="1">
        <f>IF(df_arabica_clean[[#This Row],[Altitude]] &lt;= 2500, df_arabica_clean[[#This Row],[Altitude]], ROUND(df_arabica_clean[[#This Row],[Altitude]] / 3.281, 0))</f>
        <v>700</v>
      </c>
      <c r="J172" s="1" t="str">
        <f>IF(df_arabica_clean[[#This Row],[Altitude]]&gt;2500,"Convertido","Original")</f>
        <v>Original</v>
      </c>
      <c r="K172" s="1" t="s">
        <v>516</v>
      </c>
      <c r="L172" s="1" t="s">
        <v>517</v>
      </c>
      <c r="M172">
        <v>16</v>
      </c>
      <c r="N172" s="1" t="s">
        <v>192</v>
      </c>
      <c r="O172" s="1" t="s">
        <v>64</v>
      </c>
      <c r="P172" s="1" t="s">
        <v>89</v>
      </c>
      <c r="Q172" s="1" t="s">
        <v>301</v>
      </c>
      <c r="R172" s="1" t="s">
        <v>518</v>
      </c>
      <c r="S172" s="1" t="s">
        <v>66</v>
      </c>
      <c r="T172" s="1" t="s">
        <v>51</v>
      </c>
      <c r="U172" s="1" t="s">
        <v>188</v>
      </c>
      <c r="V172">
        <v>8.17</v>
      </c>
      <c r="W172">
        <v>7.83</v>
      </c>
      <c r="X172">
        <v>7.67</v>
      </c>
      <c r="Y172">
        <v>7.83</v>
      </c>
      <c r="Z172">
        <v>7.67</v>
      </c>
      <c r="AA172">
        <v>7.67</v>
      </c>
      <c r="AB172">
        <v>10</v>
      </c>
      <c r="AC172">
        <v>10</v>
      </c>
      <c r="AD172">
        <v>10</v>
      </c>
      <c r="AE172">
        <v>7.75</v>
      </c>
      <c r="AF172">
        <v>84.58</v>
      </c>
      <c r="AG172">
        <v>11.5</v>
      </c>
      <c r="AH172">
        <v>0</v>
      </c>
      <c r="AI172">
        <v>0</v>
      </c>
      <c r="AJ172" s="1" t="s">
        <v>53</v>
      </c>
      <c r="AK172">
        <v>0</v>
      </c>
      <c r="AL172" s="1" t="s">
        <v>302</v>
      </c>
      <c r="AM172" s="1" t="s">
        <v>64</v>
      </c>
      <c r="AN172" s="1" t="s">
        <v>70</v>
      </c>
      <c r="AO172" s="1" t="s">
        <v>71</v>
      </c>
      <c r="AP172" s="4">
        <f>AVERAGEIF(df_arabica_clean[Country of Origin],df_arabica_clean[[#This Row],[Country of Origin]],df_arabica_clean[Total Cup Points])</f>
        <v>84.350327868852446</v>
      </c>
      <c r="AQ172" s="1">
        <f>+COUNTIF(df_arabica_clean[Country of Origin],df_arabica_clean[[#This Row],[Country of Origin]])</f>
        <v>61</v>
      </c>
    </row>
    <row r="173" spans="1:43" hidden="1" x14ac:dyDescent="0.25">
      <c r="A173">
        <v>32</v>
      </c>
      <c r="B173">
        <v>32</v>
      </c>
      <c r="C173" s="1" t="s">
        <v>57</v>
      </c>
      <c r="D173" s="1" t="s">
        <v>297</v>
      </c>
      <c r="E173" s="1" t="s">
        <v>298</v>
      </c>
      <c r="F173" s="1" t="s">
        <v>297</v>
      </c>
      <c r="G173" s="1" t="s">
        <v>60</v>
      </c>
      <c r="H173" s="1">
        <v>668</v>
      </c>
      <c r="I173" s="1">
        <f>IF(df_arabica_clean[[#This Row],[Altitude]] &lt;= 2500, df_arabica_clean[[#This Row],[Altitude]], ROUND(df_arabica_clean[[#This Row],[Altitude]] / 3.281, 0))</f>
        <v>668</v>
      </c>
      <c r="J173" s="1" t="str">
        <f>IF(df_arabica_clean[[#This Row],[Altitude]]&gt;2500,"Convertido","Original")</f>
        <v>Original</v>
      </c>
      <c r="K173" s="1" t="s">
        <v>299</v>
      </c>
      <c r="L173" s="1" t="s">
        <v>300</v>
      </c>
      <c r="M173">
        <v>4</v>
      </c>
      <c r="N173" s="1" t="s">
        <v>192</v>
      </c>
      <c r="O173" s="1" t="s">
        <v>64</v>
      </c>
      <c r="P173" s="1" t="s">
        <v>89</v>
      </c>
      <c r="Q173" s="1" t="s">
        <v>301</v>
      </c>
      <c r="R173" s="1" t="s">
        <v>64</v>
      </c>
      <c r="S173" s="1" t="s">
        <v>66</v>
      </c>
      <c r="T173" s="1" t="s">
        <v>51</v>
      </c>
      <c r="U173" s="1" t="s">
        <v>67</v>
      </c>
      <c r="V173">
        <v>8.08</v>
      </c>
      <c r="W173">
        <v>8.17</v>
      </c>
      <c r="X173">
        <v>7.67</v>
      </c>
      <c r="Y173">
        <v>7.83</v>
      </c>
      <c r="Z173">
        <v>7.67</v>
      </c>
      <c r="AA173">
        <v>7.92</v>
      </c>
      <c r="AB173">
        <v>10</v>
      </c>
      <c r="AC173">
        <v>10</v>
      </c>
      <c r="AD173">
        <v>10</v>
      </c>
      <c r="AE173">
        <v>8</v>
      </c>
      <c r="AF173">
        <v>85.33</v>
      </c>
      <c r="AG173">
        <v>11.3</v>
      </c>
      <c r="AH173">
        <v>0</v>
      </c>
      <c r="AI173">
        <v>0</v>
      </c>
      <c r="AJ173" s="1" t="s">
        <v>53</v>
      </c>
      <c r="AK173">
        <v>0</v>
      </c>
      <c r="AL173" s="1" t="s">
        <v>302</v>
      </c>
      <c r="AM173" s="1" t="s">
        <v>64</v>
      </c>
      <c r="AN173" s="1" t="s">
        <v>70</v>
      </c>
      <c r="AO173" s="1" t="s">
        <v>71</v>
      </c>
      <c r="AP173" s="4">
        <f>AVERAGEIF(df_arabica_clean[Country of Origin],df_arabica_clean[[#This Row],[Country of Origin]],df_arabica_clean[Total Cup Points])</f>
        <v>84.350327868852446</v>
      </c>
      <c r="AQ173" s="1">
        <f>+COUNTIF(df_arabica_clean[Country of Origin],df_arabica_clean[[#This Row],[Country of Origin]])</f>
        <v>61</v>
      </c>
    </row>
    <row r="174" spans="1:43" hidden="1" x14ac:dyDescent="0.25">
      <c r="A174">
        <v>37</v>
      </c>
      <c r="B174">
        <v>37</v>
      </c>
      <c r="C174" s="1" t="s">
        <v>57</v>
      </c>
      <c r="D174" s="1" t="s">
        <v>331</v>
      </c>
      <c r="E174" s="1" t="s">
        <v>298</v>
      </c>
      <c r="F174" s="1" t="s">
        <v>331</v>
      </c>
      <c r="G174" s="1" t="s">
        <v>60</v>
      </c>
      <c r="H174" s="1">
        <v>650</v>
      </c>
      <c r="I174" s="1">
        <f>IF(df_arabica_clean[[#This Row],[Altitude]] &lt;= 2500, df_arabica_clean[[#This Row],[Altitude]], ROUND(df_arabica_clean[[#This Row],[Altitude]] / 3.281, 0))</f>
        <v>650</v>
      </c>
      <c r="J174" s="1" t="str">
        <f>IF(df_arabica_clean[[#This Row],[Altitude]]&gt;2500,"Convertido","Original")</f>
        <v>Original</v>
      </c>
      <c r="K174" s="1" t="s">
        <v>299</v>
      </c>
      <c r="L174" s="1" t="s">
        <v>332</v>
      </c>
      <c r="M174">
        <v>20</v>
      </c>
      <c r="N174" s="1" t="s">
        <v>192</v>
      </c>
      <c r="O174" s="1" t="s">
        <v>64</v>
      </c>
      <c r="P174" s="1" t="s">
        <v>89</v>
      </c>
      <c r="Q174" s="1" t="s">
        <v>301</v>
      </c>
      <c r="R174" s="1" t="s">
        <v>64</v>
      </c>
      <c r="S174" s="1" t="s">
        <v>66</v>
      </c>
      <c r="T174" s="1" t="s">
        <v>51</v>
      </c>
      <c r="U174" s="1" t="s">
        <v>188</v>
      </c>
      <c r="V174">
        <v>8.25</v>
      </c>
      <c r="W174">
        <v>8.08</v>
      </c>
      <c r="X174">
        <v>7.83</v>
      </c>
      <c r="Y174">
        <v>7.75</v>
      </c>
      <c r="Z174">
        <v>7.67</v>
      </c>
      <c r="AA174">
        <v>7.75</v>
      </c>
      <c r="AB174">
        <v>10</v>
      </c>
      <c r="AC174">
        <v>10</v>
      </c>
      <c r="AD174">
        <v>10</v>
      </c>
      <c r="AE174">
        <v>7.92</v>
      </c>
      <c r="AF174">
        <v>85.25</v>
      </c>
      <c r="AG174">
        <v>11.3</v>
      </c>
      <c r="AH174">
        <v>0</v>
      </c>
      <c r="AI174">
        <v>0</v>
      </c>
      <c r="AJ174" s="1" t="s">
        <v>53</v>
      </c>
      <c r="AK174">
        <v>0</v>
      </c>
      <c r="AL174" s="1" t="s">
        <v>302</v>
      </c>
      <c r="AM174" s="1" t="s">
        <v>64</v>
      </c>
      <c r="AN174" s="1" t="s">
        <v>70</v>
      </c>
      <c r="AO174" s="1" t="s">
        <v>71</v>
      </c>
      <c r="AP174" s="1">
        <f>AVERAGEIF(df_arabica_clean[Country of Origin],df_arabica_clean[[#This Row],[Country of Origin]],df_arabica_clean[Total Cup Points])</f>
        <v>84.350327868852446</v>
      </c>
      <c r="AQ174" s="1">
        <f>+COUNTIF(df_arabica_clean[Country of Origin],df_arabica_clean[[#This Row],[Country of Origin]])</f>
        <v>61</v>
      </c>
    </row>
    <row r="175" spans="1:43" hidden="1" x14ac:dyDescent="0.25">
      <c r="A175">
        <v>67</v>
      </c>
      <c r="B175">
        <v>67</v>
      </c>
      <c r="C175" s="1" t="s">
        <v>541</v>
      </c>
      <c r="D175" s="1" t="s">
        <v>542</v>
      </c>
      <c r="E175" s="1" t="s">
        <v>543</v>
      </c>
      <c r="F175" s="1" t="s">
        <v>542</v>
      </c>
      <c r="G175" s="1" t="s">
        <v>60</v>
      </c>
      <c r="H175" s="1">
        <v>650</v>
      </c>
      <c r="I175" s="1">
        <f>IF(df_arabica_clean[[#This Row],[Altitude]] &lt;= 2500, df_arabica_clean[[#This Row],[Altitude]], ROUND(df_arabica_clean[[#This Row],[Altitude]] / 3.281, 0))</f>
        <v>650</v>
      </c>
      <c r="J175" s="1" t="str">
        <f>IF(df_arabica_clean[[#This Row],[Altitude]]&gt;2500,"Convertido","Original")</f>
        <v>Original</v>
      </c>
      <c r="K175" s="1" t="s">
        <v>544</v>
      </c>
      <c r="L175" s="1" t="s">
        <v>545</v>
      </c>
      <c r="M175">
        <v>3</v>
      </c>
      <c r="N175" s="1" t="s">
        <v>192</v>
      </c>
      <c r="O175" s="1" t="s">
        <v>64</v>
      </c>
      <c r="P175" s="1" t="s">
        <v>48</v>
      </c>
      <c r="Q175" s="1" t="s">
        <v>65</v>
      </c>
      <c r="R175" s="1" t="s">
        <v>64</v>
      </c>
      <c r="S175" s="1" t="s">
        <v>243</v>
      </c>
      <c r="T175" s="1" t="s">
        <v>51</v>
      </c>
      <c r="U175" s="1" t="s">
        <v>118</v>
      </c>
      <c r="V175">
        <v>8</v>
      </c>
      <c r="W175">
        <v>7.83</v>
      </c>
      <c r="X175">
        <v>7.75</v>
      </c>
      <c r="Y175">
        <v>7.67</v>
      </c>
      <c r="Z175">
        <v>7.58</v>
      </c>
      <c r="AA175">
        <v>7.83</v>
      </c>
      <c r="AB175">
        <v>10</v>
      </c>
      <c r="AC175">
        <v>10</v>
      </c>
      <c r="AD175">
        <v>10</v>
      </c>
      <c r="AE175">
        <v>7.92</v>
      </c>
      <c r="AF175">
        <v>84.58</v>
      </c>
      <c r="AG175">
        <v>11.6</v>
      </c>
      <c r="AH175">
        <v>0</v>
      </c>
      <c r="AI175">
        <v>0</v>
      </c>
      <c r="AJ175" s="1" t="s">
        <v>160</v>
      </c>
      <c r="AK175">
        <v>0</v>
      </c>
      <c r="AL175" s="1" t="s">
        <v>69</v>
      </c>
      <c r="AM175" s="1" t="s">
        <v>64</v>
      </c>
      <c r="AN175" s="1" t="s">
        <v>70</v>
      </c>
      <c r="AO175" s="1" t="s">
        <v>71</v>
      </c>
      <c r="AP175" s="4">
        <f>AVERAGEIF(df_arabica_clean[Country of Origin],df_arabica_clean[[#This Row],[Country of Origin]],df_arabica_clean[Total Cup Points])</f>
        <v>82.892499999999998</v>
      </c>
      <c r="AQ175" s="1">
        <f>+COUNTIF(df_arabica_clean[Country of Origin],df_arabica_clean[[#This Row],[Country of Origin]])</f>
        <v>4</v>
      </c>
    </row>
    <row r="176" spans="1:43" hidden="1" x14ac:dyDescent="0.25">
      <c r="A176">
        <v>159</v>
      </c>
      <c r="B176">
        <v>159</v>
      </c>
      <c r="C176" s="1" t="s">
        <v>284</v>
      </c>
      <c r="D176" s="1" t="s">
        <v>1019</v>
      </c>
      <c r="E176" s="1" t="s">
        <v>1020</v>
      </c>
      <c r="F176" s="1" t="s">
        <v>730</v>
      </c>
      <c r="G176" s="1" t="s">
        <v>60</v>
      </c>
      <c r="H176" s="1">
        <v>640</v>
      </c>
      <c r="I176" s="1">
        <f>IF(df_arabica_clean[[#This Row],[Altitude]] &lt;= 2500, df_arabica_clean[[#This Row],[Altitude]], ROUND(df_arabica_clean[[#This Row],[Altitude]] / 3.281, 0))</f>
        <v>640</v>
      </c>
      <c r="J176" s="1" t="str">
        <f>IF(df_arabica_clean[[#This Row],[Altitude]]&gt;2500,"Convertido","Original")</f>
        <v>Original</v>
      </c>
      <c r="K176" s="1" t="s">
        <v>288</v>
      </c>
      <c r="L176" s="1" t="s">
        <v>1021</v>
      </c>
      <c r="M176">
        <v>4</v>
      </c>
      <c r="N176" s="1" t="s">
        <v>157</v>
      </c>
      <c r="O176" s="1" t="s">
        <v>64</v>
      </c>
      <c r="P176" s="1" t="s">
        <v>89</v>
      </c>
      <c r="Q176" s="1" t="s">
        <v>65</v>
      </c>
      <c r="R176" s="1" t="s">
        <v>64</v>
      </c>
      <c r="S176" s="1" t="s">
        <v>1022</v>
      </c>
      <c r="T176" s="1" t="s">
        <v>51</v>
      </c>
      <c r="U176" s="1" t="s">
        <v>67</v>
      </c>
      <c r="V176">
        <v>7.33</v>
      </c>
      <c r="W176">
        <v>7.58</v>
      </c>
      <c r="X176">
        <v>7.5</v>
      </c>
      <c r="Y176">
        <v>7.5</v>
      </c>
      <c r="Z176">
        <v>7.5</v>
      </c>
      <c r="AA176">
        <v>7.58</v>
      </c>
      <c r="AB176">
        <v>10</v>
      </c>
      <c r="AC176">
        <v>10</v>
      </c>
      <c r="AD176">
        <v>10</v>
      </c>
      <c r="AE176">
        <v>7.5</v>
      </c>
      <c r="AF176">
        <v>82.5</v>
      </c>
      <c r="AG176">
        <v>11.7</v>
      </c>
      <c r="AH176">
        <v>0</v>
      </c>
      <c r="AI176">
        <v>0</v>
      </c>
      <c r="AJ176" s="1" t="s">
        <v>68</v>
      </c>
      <c r="AK176">
        <v>1</v>
      </c>
      <c r="AL176" s="1" t="s">
        <v>69</v>
      </c>
      <c r="AM176" s="1" t="s">
        <v>64</v>
      </c>
      <c r="AN176" s="1" t="s">
        <v>70</v>
      </c>
      <c r="AO176" s="1" t="s">
        <v>71</v>
      </c>
      <c r="AP176" s="4">
        <f>AVERAGEIF(df_arabica_clean[Country of Origin],df_arabica_clean[[#This Row],[Country of Origin]],df_arabica_clean[Total Cup Points])</f>
        <v>83.65</v>
      </c>
      <c r="AQ176" s="1">
        <f>+COUNTIF(df_arabica_clean[Country of Origin],df_arabica_clean[[#This Row],[Country of Origin]])</f>
        <v>5</v>
      </c>
    </row>
    <row r="177" spans="1:43" hidden="1" x14ac:dyDescent="0.25">
      <c r="A177">
        <v>29</v>
      </c>
      <c r="B177">
        <v>29</v>
      </c>
      <c r="C177" s="1" t="s">
        <v>284</v>
      </c>
      <c r="D177" s="1" t="s">
        <v>285</v>
      </c>
      <c r="E177" s="1" t="s">
        <v>286</v>
      </c>
      <c r="F177" s="1" t="s">
        <v>287</v>
      </c>
      <c r="G177" s="1" t="s">
        <v>60</v>
      </c>
      <c r="H177" s="1">
        <v>600</v>
      </c>
      <c r="I177" s="1">
        <f>IF(df_arabica_clean[[#This Row],[Altitude]] &lt;= 2500, df_arabica_clean[[#This Row],[Altitude]], ROUND(df_arabica_clean[[#This Row],[Altitude]] / 3.281, 0))</f>
        <v>600</v>
      </c>
      <c r="J177" s="1" t="str">
        <f>IF(df_arabica_clean[[#This Row],[Altitude]]&gt;2500,"Convertido","Original")</f>
        <v>Original</v>
      </c>
      <c r="K177" s="1" t="s">
        <v>288</v>
      </c>
      <c r="L177" s="1" t="s">
        <v>289</v>
      </c>
      <c r="M177">
        <v>80</v>
      </c>
      <c r="N177" s="1" t="s">
        <v>157</v>
      </c>
      <c r="O177" s="1" t="s">
        <v>64</v>
      </c>
      <c r="P177" s="1" t="s">
        <v>48</v>
      </c>
      <c r="Q177" s="1" t="s">
        <v>65</v>
      </c>
      <c r="R177" s="1" t="s">
        <v>64</v>
      </c>
      <c r="S177" s="1" t="s">
        <v>231</v>
      </c>
      <c r="T177" s="1" t="s">
        <v>51</v>
      </c>
      <c r="U177" s="1" t="s">
        <v>67</v>
      </c>
      <c r="V177">
        <v>8</v>
      </c>
      <c r="W177">
        <v>7.92</v>
      </c>
      <c r="X177">
        <v>8</v>
      </c>
      <c r="Y177">
        <v>7.83</v>
      </c>
      <c r="Z177">
        <v>7.67</v>
      </c>
      <c r="AA177">
        <v>8</v>
      </c>
      <c r="AB177">
        <v>10</v>
      </c>
      <c r="AC177">
        <v>10</v>
      </c>
      <c r="AD177">
        <v>10</v>
      </c>
      <c r="AE177">
        <v>8</v>
      </c>
      <c r="AF177">
        <v>85.42</v>
      </c>
      <c r="AG177">
        <v>9.3000000000000007</v>
      </c>
      <c r="AH177">
        <v>0</v>
      </c>
      <c r="AI177">
        <v>0</v>
      </c>
      <c r="AJ177" s="1" t="s">
        <v>53</v>
      </c>
      <c r="AK177">
        <v>0</v>
      </c>
      <c r="AL177" s="1" t="s">
        <v>69</v>
      </c>
      <c r="AM177" s="1" t="s">
        <v>64</v>
      </c>
      <c r="AN177" s="1" t="s">
        <v>70</v>
      </c>
      <c r="AO177" s="1" t="s">
        <v>71</v>
      </c>
      <c r="AP177" s="1">
        <f>AVERAGEIF(df_arabica_clean[Country of Origin],df_arabica_clean[[#This Row],[Country of Origin]],df_arabica_clean[Total Cup Points])</f>
        <v>83.65</v>
      </c>
      <c r="AQ177" s="1">
        <f>+COUNTIF(df_arabica_clean[Country of Origin],df_arabica_clean[[#This Row],[Country of Origin]])</f>
        <v>5</v>
      </c>
    </row>
    <row r="178" spans="1:43" hidden="1" x14ac:dyDescent="0.25">
      <c r="A178">
        <v>192</v>
      </c>
      <c r="B178">
        <v>192</v>
      </c>
      <c r="C178" s="1" t="s">
        <v>233</v>
      </c>
      <c r="D178" s="1" t="s">
        <v>799</v>
      </c>
      <c r="E178" s="1" t="s">
        <v>1163</v>
      </c>
      <c r="F178" s="1" t="s">
        <v>372</v>
      </c>
      <c r="G178" s="1" t="s">
        <v>799</v>
      </c>
      <c r="H178" s="1">
        <v>600</v>
      </c>
      <c r="I178" s="1">
        <f>IF(df_arabica_clean[[#This Row],[Altitude]] &lt;= 2500, df_arabica_clean[[#This Row],[Altitude]], ROUND(df_arabica_clean[[#This Row],[Altitude]] / 3.281, 0))</f>
        <v>600</v>
      </c>
      <c r="J178" s="1" t="str">
        <f>IF(df_arabica_clean[[#This Row],[Altitude]]&gt;2500,"Convertido","Original")</f>
        <v>Original</v>
      </c>
      <c r="K178" s="1" t="s">
        <v>801</v>
      </c>
      <c r="L178" s="1" t="s">
        <v>799</v>
      </c>
      <c r="M178">
        <v>2</v>
      </c>
      <c r="N178" s="1" t="s">
        <v>214</v>
      </c>
      <c r="O178" s="1" t="s">
        <v>240</v>
      </c>
      <c r="P178" s="1" t="s">
        <v>89</v>
      </c>
      <c r="Q178" s="1" t="s">
        <v>802</v>
      </c>
      <c r="R178" s="1" t="s">
        <v>799</v>
      </c>
      <c r="S178" s="1" t="s">
        <v>243</v>
      </c>
      <c r="T178" s="1" t="s">
        <v>51</v>
      </c>
      <c r="U178" s="1" t="s">
        <v>67</v>
      </c>
      <c r="V178">
        <v>7.25</v>
      </c>
      <c r="W178">
        <v>7.25</v>
      </c>
      <c r="X178">
        <v>7.42</v>
      </c>
      <c r="Y178">
        <v>7.25</v>
      </c>
      <c r="Z178">
        <v>7.42</v>
      </c>
      <c r="AA178">
        <v>7.42</v>
      </c>
      <c r="AB178">
        <v>10</v>
      </c>
      <c r="AC178">
        <v>10</v>
      </c>
      <c r="AD178">
        <v>10</v>
      </c>
      <c r="AE178">
        <v>7.17</v>
      </c>
      <c r="AF178">
        <v>81.17</v>
      </c>
      <c r="AG178">
        <v>10.4</v>
      </c>
      <c r="AH178">
        <v>0</v>
      </c>
      <c r="AI178">
        <v>0</v>
      </c>
      <c r="AJ178" s="1" t="s">
        <v>53</v>
      </c>
      <c r="AK178">
        <v>0</v>
      </c>
      <c r="AL178" s="1" t="s">
        <v>803</v>
      </c>
      <c r="AM178" s="1" t="s">
        <v>240</v>
      </c>
      <c r="AN178" s="1" t="s">
        <v>246</v>
      </c>
      <c r="AO178" s="1" t="s">
        <v>247</v>
      </c>
      <c r="AP178" s="4">
        <f>AVERAGEIF(df_arabica_clean[Country of Origin],df_arabica_clean[[#This Row],[Country of Origin]],df_arabica_clean[Total Cup Points])</f>
        <v>82.827499999999986</v>
      </c>
      <c r="AQ178" s="1">
        <f>+COUNTIF(df_arabica_clean[Country of Origin],df_arabica_clean[[#This Row],[Country of Origin]])</f>
        <v>12</v>
      </c>
    </row>
    <row r="179" spans="1:43" hidden="1" x14ac:dyDescent="0.25">
      <c r="A179">
        <v>172</v>
      </c>
      <c r="B179">
        <v>172</v>
      </c>
      <c r="C179" s="1" t="s">
        <v>57</v>
      </c>
      <c r="D179" s="1" t="s">
        <v>1067</v>
      </c>
      <c r="E179" s="1" t="s">
        <v>1068</v>
      </c>
      <c r="F179" s="1" t="s">
        <v>1067</v>
      </c>
      <c r="G179" s="1" t="s">
        <v>364</v>
      </c>
      <c r="H179" s="1">
        <v>600</v>
      </c>
      <c r="I179" s="1">
        <f>IF(df_arabica_clean[[#This Row],[Altitude]] &lt;= 2500, df_arabica_clean[[#This Row],[Altitude]], ROUND(df_arabica_clean[[#This Row],[Altitude]] / 3.281, 0))</f>
        <v>600</v>
      </c>
      <c r="J179" s="1" t="str">
        <f>IF(df_arabica_clean[[#This Row],[Altitude]]&gt;2500,"Convertido","Original")</f>
        <v>Original</v>
      </c>
      <c r="K179" s="1" t="s">
        <v>844</v>
      </c>
      <c r="L179" s="1" t="s">
        <v>1069</v>
      </c>
      <c r="M179">
        <v>1</v>
      </c>
      <c r="N179" s="1" t="s">
        <v>1070</v>
      </c>
      <c r="O179" s="1" t="s">
        <v>64</v>
      </c>
      <c r="P179" s="1" t="s">
        <v>48</v>
      </c>
      <c r="Q179" s="1" t="s">
        <v>266</v>
      </c>
      <c r="R179" s="1" t="s">
        <v>367</v>
      </c>
      <c r="S179" s="1" t="s">
        <v>553</v>
      </c>
      <c r="T179" s="1" t="s">
        <v>51</v>
      </c>
      <c r="U179" s="1" t="s">
        <v>67</v>
      </c>
      <c r="V179">
        <v>7.5</v>
      </c>
      <c r="W179">
        <v>7.67</v>
      </c>
      <c r="X179">
        <v>7.33</v>
      </c>
      <c r="Y179">
        <v>7.5</v>
      </c>
      <c r="Z179">
        <v>7.25</v>
      </c>
      <c r="AA179">
        <v>7.33</v>
      </c>
      <c r="AB179">
        <v>10</v>
      </c>
      <c r="AC179">
        <v>10</v>
      </c>
      <c r="AD179">
        <v>10</v>
      </c>
      <c r="AE179">
        <v>7.5</v>
      </c>
      <c r="AF179">
        <v>82.08</v>
      </c>
      <c r="AG179">
        <v>9.6999999999999993</v>
      </c>
      <c r="AH179">
        <v>0</v>
      </c>
      <c r="AI179">
        <v>0</v>
      </c>
      <c r="AJ179" s="1" t="s">
        <v>257</v>
      </c>
      <c r="AK179">
        <v>0</v>
      </c>
      <c r="AL179" s="1" t="s">
        <v>268</v>
      </c>
      <c r="AM179" s="1" t="s">
        <v>64</v>
      </c>
      <c r="AN179" s="1" t="s">
        <v>70</v>
      </c>
      <c r="AO179" s="1" t="s">
        <v>71</v>
      </c>
      <c r="AP179" s="1">
        <f>AVERAGEIF(df_arabica_clean[Country of Origin],df_arabica_clean[[#This Row],[Country of Origin]],df_arabica_clean[Total Cup Points])</f>
        <v>84.350327868852446</v>
      </c>
      <c r="AQ179" s="1">
        <f>+COUNTIF(df_arabica_clean[Country of Origin],df_arabica_clean[[#This Row],[Country of Origin]])</f>
        <v>61</v>
      </c>
    </row>
    <row r="180" spans="1:43" hidden="1" x14ac:dyDescent="0.25">
      <c r="A180">
        <v>69</v>
      </c>
      <c r="B180">
        <v>69</v>
      </c>
      <c r="C180" s="1" t="s">
        <v>57</v>
      </c>
      <c r="D180" s="1" t="s">
        <v>549</v>
      </c>
      <c r="E180" s="1" t="s">
        <v>550</v>
      </c>
      <c r="F180" s="1" t="s">
        <v>549</v>
      </c>
      <c r="G180" s="1" t="s">
        <v>364</v>
      </c>
      <c r="H180" s="1">
        <v>520</v>
      </c>
      <c r="I180" s="1">
        <f>IF(df_arabica_clean[[#This Row],[Altitude]] &lt;= 2500, df_arabica_clean[[#This Row],[Altitude]], ROUND(df_arabica_clean[[#This Row],[Altitude]] / 3.281, 0))</f>
        <v>520</v>
      </c>
      <c r="J180" s="1" t="str">
        <f>IF(df_arabica_clean[[#This Row],[Altitude]]&gt;2500,"Convertido","Original")</f>
        <v>Original</v>
      </c>
      <c r="K180" s="1" t="s">
        <v>365</v>
      </c>
      <c r="L180" s="1" t="s">
        <v>551</v>
      </c>
      <c r="M180">
        <v>1</v>
      </c>
      <c r="N180" s="1" t="s">
        <v>552</v>
      </c>
      <c r="O180" s="1" t="s">
        <v>64</v>
      </c>
      <c r="P180" s="1" t="s">
        <v>48</v>
      </c>
      <c r="Q180" s="1" t="s">
        <v>266</v>
      </c>
      <c r="R180" s="1" t="s">
        <v>367</v>
      </c>
      <c r="S180" s="1" t="s">
        <v>553</v>
      </c>
      <c r="T180" s="1" t="s">
        <v>51</v>
      </c>
      <c r="U180" s="1" t="s">
        <v>188</v>
      </c>
      <c r="V180">
        <v>7.75</v>
      </c>
      <c r="W180">
        <v>7.92</v>
      </c>
      <c r="X180">
        <v>7.83</v>
      </c>
      <c r="Y180">
        <v>7.75</v>
      </c>
      <c r="Z180">
        <v>7.75</v>
      </c>
      <c r="AA180">
        <v>7.75</v>
      </c>
      <c r="AB180">
        <v>10</v>
      </c>
      <c r="AC180">
        <v>10</v>
      </c>
      <c r="AD180">
        <v>10</v>
      </c>
      <c r="AE180">
        <v>7.75</v>
      </c>
      <c r="AF180">
        <v>84.5</v>
      </c>
      <c r="AG180">
        <v>11.3</v>
      </c>
      <c r="AH180">
        <v>0</v>
      </c>
      <c r="AI180">
        <v>0</v>
      </c>
      <c r="AJ180" s="1" t="s">
        <v>257</v>
      </c>
      <c r="AK180">
        <v>0</v>
      </c>
      <c r="AL180" s="1" t="s">
        <v>268</v>
      </c>
      <c r="AM180" s="1" t="s">
        <v>64</v>
      </c>
      <c r="AN180" s="1" t="s">
        <v>70</v>
      </c>
      <c r="AO180" s="1" t="s">
        <v>71</v>
      </c>
      <c r="AP180" s="4">
        <f>AVERAGEIF(df_arabica_clean[Country of Origin],df_arabica_clean[[#This Row],[Country of Origin]],df_arabica_clean[Total Cup Points])</f>
        <v>84.350327868852446</v>
      </c>
      <c r="AQ180" s="1">
        <f>+COUNTIF(df_arabica_clean[Country of Origin],df_arabica_clean[[#This Row],[Country of Origin]])</f>
        <v>61</v>
      </c>
    </row>
    <row r="181" spans="1:43" hidden="1" x14ac:dyDescent="0.25">
      <c r="A181">
        <v>174</v>
      </c>
      <c r="B181">
        <v>174</v>
      </c>
      <c r="C181" s="1" t="s">
        <v>57</v>
      </c>
      <c r="D181" s="1" t="s">
        <v>1074</v>
      </c>
      <c r="E181" s="1" t="s">
        <v>1075</v>
      </c>
      <c r="F181" s="1" t="s">
        <v>1074</v>
      </c>
      <c r="G181" s="1" t="s">
        <v>364</v>
      </c>
      <c r="H181" s="1">
        <v>500</v>
      </c>
      <c r="I181" s="1">
        <f>IF(df_arabica_clean[[#This Row],[Altitude]] &lt;= 2500, df_arabica_clean[[#This Row],[Altitude]], ROUND(df_arabica_clean[[#This Row],[Altitude]] / 3.281, 0))</f>
        <v>500</v>
      </c>
      <c r="J181" s="1" t="str">
        <f>IF(df_arabica_clean[[#This Row],[Altitude]]&gt;2500,"Convertido","Original")</f>
        <v>Original</v>
      </c>
      <c r="K181" s="1" t="s">
        <v>844</v>
      </c>
      <c r="L181" s="1" t="s">
        <v>1076</v>
      </c>
      <c r="M181">
        <v>1</v>
      </c>
      <c r="N181" s="1" t="s">
        <v>228</v>
      </c>
      <c r="O181" s="1" t="s">
        <v>64</v>
      </c>
      <c r="P181" s="1" t="s">
        <v>48</v>
      </c>
      <c r="Q181" s="1" t="s">
        <v>266</v>
      </c>
      <c r="R181" s="1" t="s">
        <v>367</v>
      </c>
      <c r="S181" s="1" t="s">
        <v>553</v>
      </c>
      <c r="T181" s="1" t="s">
        <v>51</v>
      </c>
      <c r="U181" s="1" t="s">
        <v>67</v>
      </c>
      <c r="V181">
        <v>7.5</v>
      </c>
      <c r="W181">
        <v>7.58</v>
      </c>
      <c r="X181">
        <v>7.42</v>
      </c>
      <c r="Y181">
        <v>7.42</v>
      </c>
      <c r="Z181">
        <v>7.25</v>
      </c>
      <c r="AA181">
        <v>7.42</v>
      </c>
      <c r="AB181">
        <v>10</v>
      </c>
      <c r="AC181">
        <v>10</v>
      </c>
      <c r="AD181">
        <v>10</v>
      </c>
      <c r="AE181">
        <v>7.42</v>
      </c>
      <c r="AF181">
        <v>82</v>
      </c>
      <c r="AG181">
        <v>8.1999999999999993</v>
      </c>
      <c r="AH181">
        <v>0</v>
      </c>
      <c r="AI181">
        <v>0</v>
      </c>
      <c r="AJ181" s="1" t="s">
        <v>53</v>
      </c>
      <c r="AK181">
        <v>1</v>
      </c>
      <c r="AL181" s="1" t="s">
        <v>268</v>
      </c>
      <c r="AM181" s="1" t="s">
        <v>64</v>
      </c>
      <c r="AN181" s="1" t="s">
        <v>70</v>
      </c>
      <c r="AO181" s="1" t="s">
        <v>71</v>
      </c>
      <c r="AP181" s="1">
        <f>AVERAGEIF(df_arabica_clean[Country of Origin],df_arabica_clean[[#This Row],[Country of Origin]],df_arabica_clean[Total Cup Points])</f>
        <v>84.350327868852446</v>
      </c>
      <c r="AQ181" s="1">
        <f>+COUNTIF(df_arabica_clean[Country of Origin],df_arabica_clean[[#This Row],[Country of Origin]])</f>
        <v>61</v>
      </c>
    </row>
    <row r="182" spans="1:43" hidden="1" x14ac:dyDescent="0.25">
      <c r="A182">
        <v>154</v>
      </c>
      <c r="B182">
        <v>154</v>
      </c>
      <c r="C182" s="1" t="s">
        <v>57</v>
      </c>
      <c r="D182" s="1" t="s">
        <v>989</v>
      </c>
      <c r="E182" s="1" t="s">
        <v>990</v>
      </c>
      <c r="F182" s="1" t="s">
        <v>989</v>
      </c>
      <c r="G182" s="1" t="s">
        <v>364</v>
      </c>
      <c r="H182" s="1">
        <v>465</v>
      </c>
      <c r="I182" s="1">
        <f>IF(df_arabica_clean[[#This Row],[Altitude]] &lt;= 2500, df_arabica_clean[[#This Row],[Altitude]], ROUND(df_arabica_clean[[#This Row],[Altitude]] / 3.281, 0))</f>
        <v>465</v>
      </c>
      <c r="J182" s="1" t="str">
        <f>IF(df_arabica_clean[[#This Row],[Altitude]]&gt;2500,"Convertido","Original")</f>
        <v>Original</v>
      </c>
      <c r="K182" s="1" t="s">
        <v>365</v>
      </c>
      <c r="L182" s="1" t="s">
        <v>991</v>
      </c>
      <c r="M182">
        <v>1</v>
      </c>
      <c r="N182" s="1" t="s">
        <v>992</v>
      </c>
      <c r="O182" s="1" t="s">
        <v>64</v>
      </c>
      <c r="P182" s="1" t="s">
        <v>48</v>
      </c>
      <c r="Q182" s="1" t="s">
        <v>266</v>
      </c>
      <c r="R182" s="1" t="s">
        <v>367</v>
      </c>
      <c r="S182" s="1" t="s">
        <v>184</v>
      </c>
      <c r="T182" s="1" t="s">
        <v>51</v>
      </c>
      <c r="U182" s="1" t="s">
        <v>67</v>
      </c>
      <c r="V182">
        <v>7.67</v>
      </c>
      <c r="W182">
        <v>7.58</v>
      </c>
      <c r="X182">
        <v>7.42</v>
      </c>
      <c r="Y182">
        <v>7.42</v>
      </c>
      <c r="Z182">
        <v>7.5</v>
      </c>
      <c r="AA182">
        <v>7.5</v>
      </c>
      <c r="AB182">
        <v>10</v>
      </c>
      <c r="AC182">
        <v>10</v>
      </c>
      <c r="AD182">
        <v>10</v>
      </c>
      <c r="AE182">
        <v>7.5</v>
      </c>
      <c r="AF182">
        <v>82.58</v>
      </c>
      <c r="AG182">
        <v>8.4</v>
      </c>
      <c r="AH182">
        <v>0</v>
      </c>
      <c r="AI182">
        <v>0</v>
      </c>
      <c r="AJ182" s="1" t="s">
        <v>68</v>
      </c>
      <c r="AK182">
        <v>2</v>
      </c>
      <c r="AL182" s="1" t="s">
        <v>268</v>
      </c>
      <c r="AM182" s="1" t="s">
        <v>64</v>
      </c>
      <c r="AN182" s="1" t="s">
        <v>70</v>
      </c>
      <c r="AO182" s="1" t="s">
        <v>71</v>
      </c>
      <c r="AP182" s="1">
        <f>AVERAGEIF(df_arabica_clean[Country of Origin],df_arabica_clean[[#This Row],[Country of Origin]],df_arabica_clean[Total Cup Points])</f>
        <v>84.350327868852446</v>
      </c>
      <c r="AQ182" s="1">
        <f>+COUNTIF(df_arabica_clean[Country of Origin],df_arabica_clean[[#This Row],[Country of Origin]])</f>
        <v>61</v>
      </c>
    </row>
    <row r="183" spans="1:43" hidden="1" x14ac:dyDescent="0.25">
      <c r="A183">
        <v>173</v>
      </c>
      <c r="B183">
        <v>173</v>
      </c>
      <c r="C183" s="1" t="s">
        <v>57</v>
      </c>
      <c r="D183" s="1" t="s">
        <v>1071</v>
      </c>
      <c r="E183" s="1" t="s">
        <v>1072</v>
      </c>
      <c r="F183" s="1" t="s">
        <v>1071</v>
      </c>
      <c r="G183" s="1" t="s">
        <v>364</v>
      </c>
      <c r="H183" s="1">
        <v>460</v>
      </c>
      <c r="I183" s="1">
        <f>IF(df_arabica_clean[[#This Row],[Altitude]] &lt;= 2500, df_arabica_clean[[#This Row],[Altitude]], ROUND(df_arabica_clean[[#This Row],[Altitude]] / 3.281, 0))</f>
        <v>460</v>
      </c>
      <c r="J183" s="1" t="str">
        <f>IF(df_arabica_clean[[#This Row],[Altitude]]&gt;2500,"Convertido","Original")</f>
        <v>Original</v>
      </c>
      <c r="K183" s="1" t="s">
        <v>365</v>
      </c>
      <c r="L183" s="1" t="s">
        <v>1073</v>
      </c>
      <c r="M183">
        <v>1</v>
      </c>
      <c r="N183" s="1" t="s">
        <v>132</v>
      </c>
      <c r="O183" s="1" t="s">
        <v>64</v>
      </c>
      <c r="P183" s="1" t="s">
        <v>48</v>
      </c>
      <c r="Q183" s="1" t="s">
        <v>266</v>
      </c>
      <c r="R183" s="1" t="s">
        <v>367</v>
      </c>
      <c r="S183" s="1" t="s">
        <v>553</v>
      </c>
      <c r="T183" s="1" t="s">
        <v>51</v>
      </c>
      <c r="U183" s="1" t="s">
        <v>188</v>
      </c>
      <c r="V183">
        <v>7.33</v>
      </c>
      <c r="W183">
        <v>7.42</v>
      </c>
      <c r="X183">
        <v>7.42</v>
      </c>
      <c r="Y183">
        <v>7.5</v>
      </c>
      <c r="Z183">
        <v>7.42</v>
      </c>
      <c r="AA183">
        <v>7.5</v>
      </c>
      <c r="AB183">
        <v>10</v>
      </c>
      <c r="AC183">
        <v>10</v>
      </c>
      <c r="AD183">
        <v>10</v>
      </c>
      <c r="AE183">
        <v>7.5</v>
      </c>
      <c r="AF183">
        <v>82.08</v>
      </c>
      <c r="AG183">
        <v>8.1</v>
      </c>
      <c r="AH183">
        <v>0</v>
      </c>
      <c r="AI183">
        <v>0</v>
      </c>
      <c r="AJ183" s="1" t="s">
        <v>125</v>
      </c>
      <c r="AK183">
        <v>3</v>
      </c>
      <c r="AL183" s="1" t="s">
        <v>268</v>
      </c>
      <c r="AM183" s="1" t="s">
        <v>64</v>
      </c>
      <c r="AN183" s="1" t="s">
        <v>70</v>
      </c>
      <c r="AO183" s="1" t="s">
        <v>71</v>
      </c>
      <c r="AP183" s="1">
        <f>AVERAGEIF(df_arabica_clean[Country of Origin],df_arabica_clean[[#This Row],[Country of Origin]],df_arabica_clean[Total Cup Points])</f>
        <v>84.350327868852446</v>
      </c>
      <c r="AQ183" s="1">
        <f>+COUNTIF(df_arabica_clean[Country of Origin],df_arabica_clean[[#This Row],[Country of Origin]])</f>
        <v>61</v>
      </c>
    </row>
    <row r="184" spans="1:43" hidden="1" x14ac:dyDescent="0.25">
      <c r="A184">
        <v>189</v>
      </c>
      <c r="B184">
        <v>189</v>
      </c>
      <c r="C184" s="1" t="s">
        <v>57</v>
      </c>
      <c r="D184" s="1" t="s">
        <v>1152</v>
      </c>
      <c r="E184" s="1" t="s">
        <v>1153</v>
      </c>
      <c r="F184" s="1" t="s">
        <v>1152</v>
      </c>
      <c r="G184" s="1" t="s">
        <v>364</v>
      </c>
      <c r="H184" s="1">
        <v>435</v>
      </c>
      <c r="I184" s="1">
        <f>IF(df_arabica_clean[[#This Row],[Altitude]] &lt;= 2500, df_arabica_clean[[#This Row],[Altitude]], ROUND(df_arabica_clean[[#This Row],[Altitude]] / 3.281, 0))</f>
        <v>435</v>
      </c>
      <c r="J184" s="1" t="str">
        <f>IF(df_arabica_clean[[#This Row],[Altitude]]&gt;2500,"Convertido","Original")</f>
        <v>Original</v>
      </c>
      <c r="K184" s="1" t="s">
        <v>1154</v>
      </c>
      <c r="L184" s="1" t="s">
        <v>1155</v>
      </c>
      <c r="M184">
        <v>1</v>
      </c>
      <c r="N184" s="1" t="s">
        <v>834</v>
      </c>
      <c r="O184" s="1" t="s">
        <v>64</v>
      </c>
      <c r="P184" s="1" t="s">
        <v>48</v>
      </c>
      <c r="Q184" s="1" t="s">
        <v>266</v>
      </c>
      <c r="R184" s="1" t="s">
        <v>367</v>
      </c>
      <c r="S184" s="1" t="s">
        <v>553</v>
      </c>
      <c r="T184" s="1" t="s">
        <v>51</v>
      </c>
      <c r="U184" s="1" t="s">
        <v>188</v>
      </c>
      <c r="V184">
        <v>7.33</v>
      </c>
      <c r="W184">
        <v>7.5</v>
      </c>
      <c r="X184">
        <v>7.42</v>
      </c>
      <c r="Y184">
        <v>7.33</v>
      </c>
      <c r="Z184">
        <v>7.33</v>
      </c>
      <c r="AA184">
        <v>7.25</v>
      </c>
      <c r="AB184">
        <v>10</v>
      </c>
      <c r="AC184">
        <v>10</v>
      </c>
      <c r="AD184">
        <v>10</v>
      </c>
      <c r="AE184">
        <v>7.33</v>
      </c>
      <c r="AF184">
        <v>81.5</v>
      </c>
      <c r="AG184">
        <v>8.5</v>
      </c>
      <c r="AH184">
        <v>0</v>
      </c>
      <c r="AI184">
        <v>0</v>
      </c>
      <c r="AJ184" s="1" t="s">
        <v>53</v>
      </c>
      <c r="AK184">
        <v>0</v>
      </c>
      <c r="AL184" s="1" t="s">
        <v>268</v>
      </c>
      <c r="AM184" s="1" t="s">
        <v>64</v>
      </c>
      <c r="AN184" s="1" t="s">
        <v>70</v>
      </c>
      <c r="AO184" s="1" t="s">
        <v>71</v>
      </c>
      <c r="AP184" s="1">
        <f>AVERAGEIF(df_arabica_clean[Country of Origin],df_arabica_clean[[#This Row],[Country of Origin]],df_arabica_clean[Total Cup Points])</f>
        <v>84.350327868852446</v>
      </c>
      <c r="AQ184" s="1">
        <f>+COUNTIF(df_arabica_clean[Country of Origin],df_arabica_clean[[#This Row],[Country of Origin]])</f>
        <v>61</v>
      </c>
    </row>
    <row r="185" spans="1:43" hidden="1" x14ac:dyDescent="0.25">
      <c r="A185">
        <v>102</v>
      </c>
      <c r="B185">
        <v>102</v>
      </c>
      <c r="C185" s="1" t="s">
        <v>284</v>
      </c>
      <c r="D185" s="1" t="s">
        <v>728</v>
      </c>
      <c r="E185" s="1" t="s">
        <v>729</v>
      </c>
      <c r="F185" s="1" t="s">
        <v>730</v>
      </c>
      <c r="G185" s="1" t="s">
        <v>60</v>
      </c>
      <c r="H185" s="1">
        <v>400</v>
      </c>
      <c r="I185" s="1">
        <f>IF(df_arabica_clean[[#This Row],[Altitude]] &lt;= 2500, df_arabica_clean[[#This Row],[Altitude]], ROUND(df_arabica_clean[[#This Row],[Altitude]] / 3.281, 0))</f>
        <v>400</v>
      </c>
      <c r="J185" s="1" t="str">
        <f>IF(df_arabica_clean[[#This Row],[Altitude]]&gt;2500,"Convertido","Original")</f>
        <v>Original</v>
      </c>
      <c r="K185" s="1" t="s">
        <v>731</v>
      </c>
      <c r="L185" s="1" t="s">
        <v>732</v>
      </c>
      <c r="M185">
        <v>4</v>
      </c>
      <c r="N185" s="1" t="s">
        <v>157</v>
      </c>
      <c r="O185" s="1" t="s">
        <v>64</v>
      </c>
      <c r="P185" s="1" t="s">
        <v>89</v>
      </c>
      <c r="Q185" s="1" t="s">
        <v>65</v>
      </c>
      <c r="R185" s="1" t="s">
        <v>64</v>
      </c>
      <c r="S185" s="1" t="s">
        <v>231</v>
      </c>
      <c r="T185" s="1" t="s">
        <v>51</v>
      </c>
      <c r="U185" s="1" t="s">
        <v>67</v>
      </c>
      <c r="V185">
        <v>7.67</v>
      </c>
      <c r="W185">
        <v>7.92</v>
      </c>
      <c r="X185">
        <v>7.58</v>
      </c>
      <c r="Y185">
        <v>7.58</v>
      </c>
      <c r="Z185">
        <v>7.58</v>
      </c>
      <c r="AA185">
        <v>7.75</v>
      </c>
      <c r="AB185">
        <v>10</v>
      </c>
      <c r="AC185">
        <v>10</v>
      </c>
      <c r="AD185">
        <v>10</v>
      </c>
      <c r="AE185">
        <v>7.75</v>
      </c>
      <c r="AF185">
        <v>83.83</v>
      </c>
      <c r="AG185">
        <v>11.8</v>
      </c>
      <c r="AH185">
        <v>0</v>
      </c>
      <c r="AI185">
        <v>3</v>
      </c>
      <c r="AJ185" s="1" t="s">
        <v>53</v>
      </c>
      <c r="AK185">
        <v>3</v>
      </c>
      <c r="AL185" s="1" t="s">
        <v>69</v>
      </c>
      <c r="AM185" s="1" t="s">
        <v>64</v>
      </c>
      <c r="AN185" s="1" t="s">
        <v>70</v>
      </c>
      <c r="AO185" s="1" t="s">
        <v>71</v>
      </c>
      <c r="AP185" s="1">
        <f>AVERAGEIF(df_arabica_clean[Country of Origin],df_arabica_clean[[#This Row],[Country of Origin]],df_arabica_clean[Total Cup Points])</f>
        <v>83.65</v>
      </c>
      <c r="AQ185" s="1">
        <f>+COUNTIF(df_arabica_clean[Country of Origin],df_arabica_clean[[#This Row],[Country of Origin]])</f>
        <v>5</v>
      </c>
    </row>
    <row r="186" spans="1:43" hidden="1" x14ac:dyDescent="0.25">
      <c r="A186">
        <v>72</v>
      </c>
      <c r="B186">
        <v>72</v>
      </c>
      <c r="C186" s="1" t="s">
        <v>57</v>
      </c>
      <c r="D186" s="1" t="s">
        <v>574</v>
      </c>
      <c r="E186" s="1" t="s">
        <v>575</v>
      </c>
      <c r="F186" s="1" t="s">
        <v>574</v>
      </c>
      <c r="G186" s="1" t="s">
        <v>60</v>
      </c>
      <c r="H186" s="1">
        <v>400</v>
      </c>
      <c r="I186" s="1">
        <f>IF(df_arabica_clean[[#This Row],[Altitude]] &lt;= 2500, df_arabica_clean[[#This Row],[Altitude]], ROUND(df_arabica_clean[[#This Row],[Altitude]] / 3.281, 0))</f>
        <v>400</v>
      </c>
      <c r="J186" s="1" t="str">
        <f>IF(df_arabica_clean[[#This Row],[Altitude]]&gt;2500,"Convertido","Original")</f>
        <v>Original</v>
      </c>
      <c r="K186" s="1" t="s">
        <v>576</v>
      </c>
      <c r="L186" s="1" t="s">
        <v>577</v>
      </c>
      <c r="M186">
        <v>1</v>
      </c>
      <c r="N186" s="1" t="s">
        <v>228</v>
      </c>
      <c r="O186" s="1" t="s">
        <v>64</v>
      </c>
      <c r="P186" s="1" t="s">
        <v>48</v>
      </c>
      <c r="Q186" s="1" t="s">
        <v>229</v>
      </c>
      <c r="R186" s="1" t="s">
        <v>578</v>
      </c>
      <c r="S186" s="1" t="s">
        <v>231</v>
      </c>
      <c r="T186" s="1" t="s">
        <v>51</v>
      </c>
      <c r="U186" s="1" t="s">
        <v>118</v>
      </c>
      <c r="V186">
        <v>8.08</v>
      </c>
      <c r="W186">
        <v>7.92</v>
      </c>
      <c r="X186">
        <v>7.75</v>
      </c>
      <c r="Y186">
        <v>7.83</v>
      </c>
      <c r="Z186">
        <v>7.5</v>
      </c>
      <c r="AA186">
        <v>7.58</v>
      </c>
      <c r="AB186">
        <v>10</v>
      </c>
      <c r="AC186">
        <v>10</v>
      </c>
      <c r="AD186">
        <v>10</v>
      </c>
      <c r="AE186">
        <v>7.83</v>
      </c>
      <c r="AF186">
        <v>84.5</v>
      </c>
      <c r="AG186">
        <v>10.199999999999999</v>
      </c>
      <c r="AH186">
        <v>0</v>
      </c>
      <c r="AI186">
        <v>0</v>
      </c>
      <c r="AJ186" s="1" t="s">
        <v>53</v>
      </c>
      <c r="AK186">
        <v>0</v>
      </c>
      <c r="AL186" s="1" t="s">
        <v>232</v>
      </c>
      <c r="AM186" s="1" t="s">
        <v>64</v>
      </c>
      <c r="AN186" s="1" t="s">
        <v>70</v>
      </c>
      <c r="AO186" s="1" t="s">
        <v>71</v>
      </c>
      <c r="AP186" s="1">
        <f>AVERAGEIF(df_arabica_clean[Country of Origin],df_arabica_clean[[#This Row],[Country of Origin]],df_arabica_clean[Total Cup Points])</f>
        <v>84.350327868852446</v>
      </c>
      <c r="AQ186" s="1">
        <f>+COUNTIF(df_arabica_clean[Country of Origin],df_arabica_clean[[#This Row],[Country of Origin]])</f>
        <v>61</v>
      </c>
    </row>
    <row r="187" spans="1:43" hidden="1" x14ac:dyDescent="0.25">
      <c r="A187">
        <v>49</v>
      </c>
      <c r="B187">
        <v>49</v>
      </c>
      <c r="C187" s="1" t="s">
        <v>57</v>
      </c>
      <c r="D187" s="1" t="s">
        <v>419</v>
      </c>
      <c r="E187" s="1" t="s">
        <v>420</v>
      </c>
      <c r="F187" s="1" t="s">
        <v>419</v>
      </c>
      <c r="G187" s="1" t="s">
        <v>364</v>
      </c>
      <c r="H187" s="1">
        <v>350</v>
      </c>
      <c r="I187" s="1">
        <f>IF(df_arabica_clean[[#This Row],[Altitude]] &lt;= 2500, df_arabica_clean[[#This Row],[Altitude]], ROUND(df_arabica_clean[[#This Row],[Altitude]] / 3.281, 0))</f>
        <v>350</v>
      </c>
      <c r="J187" s="1" t="str">
        <f>IF(df_arabica_clean[[#This Row],[Altitude]]&gt;2500,"Convertido","Original")</f>
        <v>Original</v>
      </c>
      <c r="K187" s="1" t="s">
        <v>421</v>
      </c>
      <c r="L187" s="1" t="s">
        <v>422</v>
      </c>
      <c r="M187">
        <v>1</v>
      </c>
      <c r="N187" s="1" t="s">
        <v>423</v>
      </c>
      <c r="O187" s="1" t="s">
        <v>64</v>
      </c>
      <c r="P187" s="1" t="s">
        <v>48</v>
      </c>
      <c r="Q187" s="1" t="s">
        <v>266</v>
      </c>
      <c r="R187" s="1" t="s">
        <v>367</v>
      </c>
      <c r="S187" s="1" t="s">
        <v>231</v>
      </c>
      <c r="T187" s="1" t="s">
        <v>51</v>
      </c>
      <c r="U187" s="1" t="s">
        <v>67</v>
      </c>
      <c r="V187">
        <v>7.92</v>
      </c>
      <c r="W187">
        <v>7.92</v>
      </c>
      <c r="X187">
        <v>7.83</v>
      </c>
      <c r="Y187">
        <v>7.83</v>
      </c>
      <c r="Z187">
        <v>7.75</v>
      </c>
      <c r="AA187">
        <v>7.83</v>
      </c>
      <c r="AB187">
        <v>10</v>
      </c>
      <c r="AC187">
        <v>10</v>
      </c>
      <c r="AD187">
        <v>10</v>
      </c>
      <c r="AE187">
        <v>7.83</v>
      </c>
      <c r="AF187">
        <v>84.92</v>
      </c>
      <c r="AG187">
        <v>9.5</v>
      </c>
      <c r="AH187">
        <v>0</v>
      </c>
      <c r="AI187">
        <v>0</v>
      </c>
      <c r="AJ187" s="1" t="s">
        <v>53</v>
      </c>
      <c r="AK187">
        <v>2</v>
      </c>
      <c r="AL187" s="1" t="s">
        <v>268</v>
      </c>
      <c r="AM187" s="1" t="s">
        <v>64</v>
      </c>
      <c r="AN187" s="1" t="s">
        <v>70</v>
      </c>
      <c r="AO187" s="1" t="s">
        <v>71</v>
      </c>
      <c r="AP187" s="4">
        <f>AVERAGEIF(df_arabica_clean[Country of Origin],df_arabica_clean[[#This Row],[Country of Origin]],df_arabica_clean[Total Cup Points])</f>
        <v>84.350327868852446</v>
      </c>
      <c r="AQ187" s="1">
        <f>+COUNTIF(df_arabica_clean[Country of Origin],df_arabica_clean[[#This Row],[Country of Origin]])</f>
        <v>61</v>
      </c>
    </row>
    <row r="188" spans="1:43" hidden="1" x14ac:dyDescent="0.25">
      <c r="A188">
        <v>135</v>
      </c>
      <c r="B188">
        <v>135</v>
      </c>
      <c r="C188" s="1" t="s">
        <v>57</v>
      </c>
      <c r="D188" s="1" t="s">
        <v>885</v>
      </c>
      <c r="E188" s="1" t="s">
        <v>886</v>
      </c>
      <c r="F188" s="1" t="s">
        <v>885</v>
      </c>
      <c r="G188" s="1" t="s">
        <v>364</v>
      </c>
      <c r="H188" s="1">
        <v>340</v>
      </c>
      <c r="I188" s="1">
        <f>IF(df_arabica_clean[[#This Row],[Altitude]] &lt;= 2500, df_arabica_clean[[#This Row],[Altitude]], ROUND(df_arabica_clean[[#This Row],[Altitude]] / 3.281, 0))</f>
        <v>340</v>
      </c>
      <c r="J188" s="1" t="str">
        <f>IF(df_arabica_clean[[#This Row],[Altitude]]&gt;2500,"Convertido","Original")</f>
        <v>Original</v>
      </c>
      <c r="K188" s="1" t="s">
        <v>365</v>
      </c>
      <c r="L188" s="1" t="s">
        <v>887</v>
      </c>
      <c r="M188">
        <v>1</v>
      </c>
      <c r="N188" s="1" t="s">
        <v>274</v>
      </c>
      <c r="O188" s="1" t="s">
        <v>64</v>
      </c>
      <c r="P188" s="1" t="s">
        <v>48</v>
      </c>
      <c r="Q188" s="1" t="s">
        <v>266</v>
      </c>
      <c r="R188" s="1" t="s">
        <v>367</v>
      </c>
      <c r="S188" s="1" t="s">
        <v>553</v>
      </c>
      <c r="T188" s="1" t="s">
        <v>51</v>
      </c>
      <c r="U188" s="1" t="s">
        <v>67</v>
      </c>
      <c r="V188">
        <v>7.67</v>
      </c>
      <c r="W188">
        <v>7.67</v>
      </c>
      <c r="X188">
        <v>7.5</v>
      </c>
      <c r="Y188">
        <v>7.58</v>
      </c>
      <c r="Z188">
        <v>7.58</v>
      </c>
      <c r="AA188">
        <v>7.5</v>
      </c>
      <c r="AB188">
        <v>10</v>
      </c>
      <c r="AC188">
        <v>10</v>
      </c>
      <c r="AD188">
        <v>10</v>
      </c>
      <c r="AE188">
        <v>7.67</v>
      </c>
      <c r="AF188">
        <v>83.17</v>
      </c>
      <c r="AG188">
        <v>11.8</v>
      </c>
      <c r="AH188">
        <v>0</v>
      </c>
      <c r="AI188">
        <v>0</v>
      </c>
      <c r="AJ188" s="1" t="s">
        <v>68</v>
      </c>
      <c r="AK188">
        <v>0</v>
      </c>
      <c r="AL188" s="1" t="s">
        <v>268</v>
      </c>
      <c r="AM188" s="1" t="s">
        <v>64</v>
      </c>
      <c r="AN188" s="1" t="s">
        <v>70</v>
      </c>
      <c r="AO188" s="1" t="s">
        <v>71</v>
      </c>
      <c r="AP188" s="1">
        <f>AVERAGEIF(df_arabica_clean[Country of Origin],df_arabica_clean[[#This Row],[Country of Origin]],df_arabica_clean[Total Cup Points])</f>
        <v>84.350327868852446</v>
      </c>
      <c r="AQ188" s="1">
        <f>+COUNTIF(df_arabica_clean[Country of Origin],df_arabica_clean[[#This Row],[Country of Origin]])</f>
        <v>61</v>
      </c>
    </row>
    <row r="189" spans="1:43" hidden="1" x14ac:dyDescent="0.25">
      <c r="A189">
        <v>188</v>
      </c>
      <c r="B189">
        <v>188</v>
      </c>
      <c r="C189" s="1" t="s">
        <v>57</v>
      </c>
      <c r="D189" s="1" t="s">
        <v>1149</v>
      </c>
      <c r="E189" s="1" t="s">
        <v>1150</v>
      </c>
      <c r="F189" s="1" t="s">
        <v>1149</v>
      </c>
      <c r="G189" s="1" t="s">
        <v>364</v>
      </c>
      <c r="H189" s="1">
        <v>300</v>
      </c>
      <c r="I189" s="1">
        <f>IF(df_arabica_clean[[#This Row],[Altitude]] &lt;= 2500, df_arabica_clean[[#This Row],[Altitude]], ROUND(df_arabica_clean[[#This Row],[Altitude]] / 3.281, 0))</f>
        <v>300</v>
      </c>
      <c r="J189" s="1" t="str">
        <f>IF(df_arabica_clean[[#This Row],[Altitude]]&gt;2500,"Convertido","Original")</f>
        <v>Original</v>
      </c>
      <c r="K189" s="1" t="s">
        <v>633</v>
      </c>
      <c r="L189" s="1" t="s">
        <v>1151</v>
      </c>
      <c r="M189">
        <v>1</v>
      </c>
      <c r="N189" s="1" t="s">
        <v>274</v>
      </c>
      <c r="O189" s="1" t="s">
        <v>64</v>
      </c>
      <c r="P189" s="1" t="s">
        <v>48</v>
      </c>
      <c r="Q189" s="1" t="s">
        <v>266</v>
      </c>
      <c r="R189" s="1" t="s">
        <v>367</v>
      </c>
      <c r="S189" s="1" t="s">
        <v>231</v>
      </c>
      <c r="T189" s="1" t="s">
        <v>51</v>
      </c>
      <c r="U189" s="1" t="s">
        <v>188</v>
      </c>
      <c r="V189">
        <v>7.42</v>
      </c>
      <c r="W189">
        <v>7.5</v>
      </c>
      <c r="X189">
        <v>7.33</v>
      </c>
      <c r="Y189">
        <v>7.33</v>
      </c>
      <c r="Z189">
        <v>7.33</v>
      </c>
      <c r="AA189">
        <v>7.33</v>
      </c>
      <c r="AB189">
        <v>10</v>
      </c>
      <c r="AC189">
        <v>10</v>
      </c>
      <c r="AD189">
        <v>10</v>
      </c>
      <c r="AE189">
        <v>7.33</v>
      </c>
      <c r="AF189">
        <v>81.58</v>
      </c>
      <c r="AG189">
        <v>9</v>
      </c>
      <c r="AH189">
        <v>0</v>
      </c>
      <c r="AI189">
        <v>0</v>
      </c>
      <c r="AJ189" s="1" t="s">
        <v>98</v>
      </c>
      <c r="AK189">
        <v>0</v>
      </c>
      <c r="AL189" s="1" t="s">
        <v>268</v>
      </c>
      <c r="AM189" s="1" t="s">
        <v>64</v>
      </c>
      <c r="AN189" s="1" t="s">
        <v>70</v>
      </c>
      <c r="AO189" s="1" t="s">
        <v>71</v>
      </c>
      <c r="AP189" s="1">
        <f>AVERAGEIF(df_arabica_clean[Country of Origin],df_arabica_clean[[#This Row],[Country of Origin]],df_arabica_clean[Total Cup Points])</f>
        <v>84.350327868852446</v>
      </c>
      <c r="AQ189" s="1">
        <f>+COUNTIF(df_arabica_clean[Country of Origin],df_arabica_clean[[#This Row],[Country of Origin]])</f>
        <v>61</v>
      </c>
    </row>
    <row r="190" spans="1:43" hidden="1" x14ac:dyDescent="0.25">
      <c r="A190">
        <v>123</v>
      </c>
      <c r="B190">
        <v>123</v>
      </c>
      <c r="C190" s="1" t="s">
        <v>57</v>
      </c>
      <c r="D190" s="1" t="s">
        <v>842</v>
      </c>
      <c r="E190" s="1" t="s">
        <v>843</v>
      </c>
      <c r="F190" s="1" t="s">
        <v>842</v>
      </c>
      <c r="G190" s="1" t="s">
        <v>364</v>
      </c>
      <c r="H190" s="1">
        <v>300</v>
      </c>
      <c r="I190" s="1">
        <f>IF(df_arabica_clean[[#This Row],[Altitude]] &lt;= 2500, df_arabica_clean[[#This Row],[Altitude]], ROUND(df_arabica_clean[[#This Row],[Altitude]] / 3.281, 0))</f>
        <v>300</v>
      </c>
      <c r="J190" s="1" t="str">
        <f>IF(df_arabica_clean[[#This Row],[Altitude]]&gt;2500,"Convertido","Original")</f>
        <v>Original</v>
      </c>
      <c r="K190" s="1" t="s">
        <v>844</v>
      </c>
      <c r="L190" s="1" t="s">
        <v>845</v>
      </c>
      <c r="M190">
        <v>1</v>
      </c>
      <c r="N190" s="1" t="s">
        <v>63</v>
      </c>
      <c r="O190" s="1" t="s">
        <v>64</v>
      </c>
      <c r="P190" s="1" t="s">
        <v>48</v>
      </c>
      <c r="Q190" s="1" t="s">
        <v>266</v>
      </c>
      <c r="R190" s="1" t="s">
        <v>367</v>
      </c>
      <c r="S190" s="1" t="s">
        <v>231</v>
      </c>
      <c r="T190" s="1" t="s">
        <v>51</v>
      </c>
      <c r="U190" s="1" t="s">
        <v>67</v>
      </c>
      <c r="V190">
        <v>7.58</v>
      </c>
      <c r="W190">
        <v>7.67</v>
      </c>
      <c r="X190">
        <v>7.58</v>
      </c>
      <c r="Y190">
        <v>7.75</v>
      </c>
      <c r="Z190">
        <v>7.42</v>
      </c>
      <c r="AA190">
        <v>7.58</v>
      </c>
      <c r="AB190">
        <v>10</v>
      </c>
      <c r="AC190">
        <v>10</v>
      </c>
      <c r="AD190">
        <v>10</v>
      </c>
      <c r="AE190">
        <v>7.75</v>
      </c>
      <c r="AF190">
        <v>83.33</v>
      </c>
      <c r="AG190">
        <v>9.6</v>
      </c>
      <c r="AH190">
        <v>0</v>
      </c>
      <c r="AI190">
        <v>0</v>
      </c>
      <c r="AJ190" s="1" t="s">
        <v>53</v>
      </c>
      <c r="AK190">
        <v>1</v>
      </c>
      <c r="AL190" s="1" t="s">
        <v>268</v>
      </c>
      <c r="AM190" s="1" t="s">
        <v>64</v>
      </c>
      <c r="AN190" s="1" t="s">
        <v>70</v>
      </c>
      <c r="AO190" s="1" t="s">
        <v>71</v>
      </c>
      <c r="AP190" s="1">
        <f>AVERAGEIF(df_arabica_clean[Country of Origin],df_arabica_clean[[#This Row],[Country of Origin]],df_arabica_clean[Total Cup Points])</f>
        <v>84.350327868852446</v>
      </c>
      <c r="AQ190" s="1">
        <f>+COUNTIF(df_arabica_clean[Country of Origin],df_arabica_clean[[#This Row],[Country of Origin]])</f>
        <v>61</v>
      </c>
    </row>
    <row r="191" spans="1:43" hidden="1" x14ac:dyDescent="0.25">
      <c r="A191">
        <v>181</v>
      </c>
      <c r="B191">
        <v>181</v>
      </c>
      <c r="C191" s="1" t="s">
        <v>57</v>
      </c>
      <c r="D191" s="1" t="s">
        <v>1109</v>
      </c>
      <c r="E191" s="1" t="s">
        <v>1110</v>
      </c>
      <c r="F191" s="1" t="s">
        <v>1109</v>
      </c>
      <c r="G191" s="1" t="s">
        <v>364</v>
      </c>
      <c r="H191" s="1">
        <v>300</v>
      </c>
      <c r="I191" s="1">
        <f>IF(df_arabica_clean[[#This Row],[Altitude]] &lt;= 2500, df_arabica_clean[[#This Row],[Altitude]], ROUND(df_arabica_clean[[#This Row],[Altitude]] / 3.281, 0))</f>
        <v>300</v>
      </c>
      <c r="J191" s="1" t="str">
        <f>IF(df_arabica_clean[[#This Row],[Altitude]]&gt;2500,"Convertido","Original")</f>
        <v>Original</v>
      </c>
      <c r="K191" s="1" t="s">
        <v>844</v>
      </c>
      <c r="L191" s="1" t="s">
        <v>1111</v>
      </c>
      <c r="M191">
        <v>1</v>
      </c>
      <c r="N191" s="1" t="s">
        <v>1112</v>
      </c>
      <c r="O191" s="1" t="s">
        <v>64</v>
      </c>
      <c r="P191" s="1" t="s">
        <v>48</v>
      </c>
      <c r="Q191" s="1" t="s">
        <v>266</v>
      </c>
      <c r="R191" s="1" t="s">
        <v>367</v>
      </c>
      <c r="S191" s="1" t="s">
        <v>231</v>
      </c>
      <c r="T191" s="1" t="s">
        <v>51</v>
      </c>
      <c r="U191" s="1" t="s">
        <v>188</v>
      </c>
      <c r="V191">
        <v>7.25</v>
      </c>
      <c r="W191">
        <v>7.42</v>
      </c>
      <c r="X191">
        <v>7.42</v>
      </c>
      <c r="Y191">
        <v>7.5</v>
      </c>
      <c r="Z191">
        <v>7.42</v>
      </c>
      <c r="AA191">
        <v>7.42</v>
      </c>
      <c r="AB191">
        <v>10</v>
      </c>
      <c r="AC191">
        <v>10</v>
      </c>
      <c r="AD191">
        <v>10</v>
      </c>
      <c r="AE191">
        <v>7.42</v>
      </c>
      <c r="AF191">
        <v>81.83</v>
      </c>
      <c r="AG191">
        <v>11.3</v>
      </c>
      <c r="AH191">
        <v>0</v>
      </c>
      <c r="AI191">
        <v>0</v>
      </c>
      <c r="AJ191" s="1" t="s">
        <v>53</v>
      </c>
      <c r="AK191">
        <v>0</v>
      </c>
      <c r="AL191" s="1" t="s">
        <v>268</v>
      </c>
      <c r="AM191" s="1" t="s">
        <v>64</v>
      </c>
      <c r="AN191" s="1" t="s">
        <v>70</v>
      </c>
      <c r="AO191" s="1" t="s">
        <v>71</v>
      </c>
      <c r="AP191" s="1">
        <f>AVERAGEIF(df_arabica_clean[Country of Origin],df_arabica_clean[[#This Row],[Country of Origin]],df_arabica_clean[Total Cup Points])</f>
        <v>84.350327868852446</v>
      </c>
      <c r="AQ191" s="1">
        <f>+COUNTIF(df_arabica_clean[Country of Origin],df_arabica_clean[[#This Row],[Country of Origin]])</f>
        <v>61</v>
      </c>
    </row>
    <row r="192" spans="1:43" hidden="1" x14ac:dyDescent="0.25">
      <c r="A192">
        <v>40</v>
      </c>
      <c r="B192">
        <v>40</v>
      </c>
      <c r="C192" s="1" t="s">
        <v>57</v>
      </c>
      <c r="D192" s="1" t="s">
        <v>348</v>
      </c>
      <c r="E192" s="1" t="s">
        <v>349</v>
      </c>
      <c r="F192" s="1" t="s">
        <v>348</v>
      </c>
      <c r="G192" s="1" t="s">
        <v>60</v>
      </c>
      <c r="H192" s="1">
        <v>300</v>
      </c>
      <c r="I192" s="1">
        <f>IF(df_arabica_clean[[#This Row],[Altitude]] &lt;= 2500, df_arabica_clean[[#This Row],[Altitude]], ROUND(df_arabica_clean[[#This Row],[Altitude]] / 3.281, 0))</f>
        <v>300</v>
      </c>
      <c r="J192" s="1" t="str">
        <f>IF(df_arabica_clean[[#This Row],[Altitude]]&gt;2500,"Convertido","Original")</f>
        <v>Original</v>
      </c>
      <c r="K192" s="1" t="s">
        <v>350</v>
      </c>
      <c r="L192" s="1" t="s">
        <v>351</v>
      </c>
      <c r="M192">
        <v>1</v>
      </c>
      <c r="N192" s="1" t="s">
        <v>352</v>
      </c>
      <c r="O192" s="1" t="s">
        <v>64</v>
      </c>
      <c r="P192" s="1" t="s">
        <v>89</v>
      </c>
      <c r="Q192" s="1" t="s">
        <v>229</v>
      </c>
      <c r="R192" s="1" t="s">
        <v>64</v>
      </c>
      <c r="S192" s="1" t="s">
        <v>231</v>
      </c>
      <c r="T192" s="1" t="s">
        <v>51</v>
      </c>
      <c r="U192" s="1" t="s">
        <v>118</v>
      </c>
      <c r="V192">
        <v>8</v>
      </c>
      <c r="W192">
        <v>7.92</v>
      </c>
      <c r="X192">
        <v>7.83</v>
      </c>
      <c r="Y192">
        <v>7.92</v>
      </c>
      <c r="Z192">
        <v>7.75</v>
      </c>
      <c r="AA192">
        <v>7.75</v>
      </c>
      <c r="AB192">
        <v>10</v>
      </c>
      <c r="AC192">
        <v>10</v>
      </c>
      <c r="AD192">
        <v>10</v>
      </c>
      <c r="AE192">
        <v>7.92</v>
      </c>
      <c r="AF192">
        <v>85.08</v>
      </c>
      <c r="AG192">
        <v>10</v>
      </c>
      <c r="AH192">
        <v>0</v>
      </c>
      <c r="AI192">
        <v>0</v>
      </c>
      <c r="AJ192" s="1" t="s">
        <v>160</v>
      </c>
      <c r="AK192">
        <v>0</v>
      </c>
      <c r="AL192" s="1" t="s">
        <v>232</v>
      </c>
      <c r="AM192" s="1" t="s">
        <v>64</v>
      </c>
      <c r="AN192" s="1" t="s">
        <v>70</v>
      </c>
      <c r="AO192" s="1" t="s">
        <v>71</v>
      </c>
      <c r="AP192" s="4">
        <f>AVERAGEIF(df_arabica_clean[Country of Origin],df_arabica_clean[[#This Row],[Country of Origin]],df_arabica_clean[Total Cup Points])</f>
        <v>84.350327868852446</v>
      </c>
      <c r="AQ192" s="1">
        <f>+COUNTIF(df_arabica_clean[Country of Origin],df_arabica_clean[[#This Row],[Country of Origin]])</f>
        <v>61</v>
      </c>
    </row>
    <row r="193" spans="1:43" hidden="1" x14ac:dyDescent="0.25">
      <c r="A193">
        <v>110</v>
      </c>
      <c r="B193">
        <v>110</v>
      </c>
      <c r="C193" s="1" t="s">
        <v>57</v>
      </c>
      <c r="D193" s="1" t="s">
        <v>771</v>
      </c>
      <c r="E193" s="1" t="s">
        <v>772</v>
      </c>
      <c r="F193" s="1" t="s">
        <v>771</v>
      </c>
      <c r="G193" s="1" t="s">
        <v>364</v>
      </c>
      <c r="H193" s="1">
        <v>250</v>
      </c>
      <c r="I193" s="1">
        <f>IF(df_arabica_clean[[#This Row],[Altitude]] &lt;= 2500, df_arabica_clean[[#This Row],[Altitude]], ROUND(df_arabica_clean[[#This Row],[Altitude]] / 3.281, 0))</f>
        <v>250</v>
      </c>
      <c r="J193" s="1" t="str">
        <f>IF(df_arabica_clean[[#This Row],[Altitude]]&gt;2500,"Convertido","Original")</f>
        <v>Original</v>
      </c>
      <c r="K193" s="1" t="s">
        <v>421</v>
      </c>
      <c r="L193" s="1" t="s">
        <v>773</v>
      </c>
      <c r="M193">
        <v>1</v>
      </c>
      <c r="N193" s="1" t="s">
        <v>352</v>
      </c>
      <c r="O193" s="1" t="s">
        <v>64</v>
      </c>
      <c r="P193" s="1" t="s">
        <v>48</v>
      </c>
      <c r="Q193" s="1" t="s">
        <v>266</v>
      </c>
      <c r="R193" s="1" t="s">
        <v>367</v>
      </c>
      <c r="S193" s="1" t="s">
        <v>553</v>
      </c>
      <c r="T193" s="1" t="s">
        <v>51</v>
      </c>
      <c r="U193" s="1" t="s">
        <v>118</v>
      </c>
      <c r="V193">
        <v>7.58</v>
      </c>
      <c r="W193">
        <v>7.67</v>
      </c>
      <c r="X193">
        <v>7.5</v>
      </c>
      <c r="Y193">
        <v>7.75</v>
      </c>
      <c r="Z193">
        <v>7.75</v>
      </c>
      <c r="AA193">
        <v>7.67</v>
      </c>
      <c r="AB193">
        <v>10</v>
      </c>
      <c r="AC193">
        <v>10</v>
      </c>
      <c r="AD193">
        <v>10</v>
      </c>
      <c r="AE193">
        <v>7.67</v>
      </c>
      <c r="AF193">
        <v>83.58</v>
      </c>
      <c r="AG193">
        <v>8.4</v>
      </c>
      <c r="AH193">
        <v>0</v>
      </c>
      <c r="AI193">
        <v>0</v>
      </c>
      <c r="AJ193" s="1" t="s">
        <v>53</v>
      </c>
      <c r="AK193">
        <v>0</v>
      </c>
      <c r="AL193" s="1" t="s">
        <v>268</v>
      </c>
      <c r="AM193" s="1" t="s">
        <v>64</v>
      </c>
      <c r="AN193" s="1" t="s">
        <v>70</v>
      </c>
      <c r="AO193" s="1" t="s">
        <v>71</v>
      </c>
      <c r="AP193" s="1">
        <f>AVERAGEIF(df_arabica_clean[Country of Origin],df_arabica_clean[[#This Row],[Country of Origin]],df_arabica_clean[Total Cup Points])</f>
        <v>84.350327868852446</v>
      </c>
      <c r="AQ193" s="1">
        <f>+COUNTIF(df_arabica_clean[Country of Origin],df_arabica_clean[[#This Row],[Country of Origin]])</f>
        <v>61</v>
      </c>
    </row>
    <row r="194" spans="1:43" hidden="1" x14ac:dyDescent="0.25">
      <c r="A194">
        <v>111</v>
      </c>
      <c r="B194">
        <v>111</v>
      </c>
      <c r="C194" s="1" t="s">
        <v>57</v>
      </c>
      <c r="D194" s="1" t="s">
        <v>774</v>
      </c>
      <c r="E194" s="1" t="s">
        <v>775</v>
      </c>
      <c r="F194" s="1" t="s">
        <v>774</v>
      </c>
      <c r="G194" s="1" t="s">
        <v>364</v>
      </c>
      <c r="H194" s="1">
        <v>250</v>
      </c>
      <c r="I194" s="1">
        <f>IF(df_arabica_clean[[#This Row],[Altitude]] &lt;= 2500, df_arabica_clean[[#This Row],[Altitude]], ROUND(df_arabica_clean[[#This Row],[Altitude]] / 3.281, 0))</f>
        <v>250</v>
      </c>
      <c r="J194" s="1" t="str">
        <f>IF(df_arabica_clean[[#This Row],[Altitude]]&gt;2500,"Convertido","Original")</f>
        <v>Original</v>
      </c>
      <c r="K194" s="1" t="s">
        <v>421</v>
      </c>
      <c r="L194" s="1" t="s">
        <v>776</v>
      </c>
      <c r="M194">
        <v>1</v>
      </c>
      <c r="N194" s="1" t="s">
        <v>352</v>
      </c>
      <c r="O194" s="1" t="s">
        <v>64</v>
      </c>
      <c r="P194" s="1" t="s">
        <v>48</v>
      </c>
      <c r="Q194" s="1" t="s">
        <v>266</v>
      </c>
      <c r="R194" s="1" t="s">
        <v>367</v>
      </c>
      <c r="S194" s="1" t="s">
        <v>231</v>
      </c>
      <c r="T194" s="1" t="s">
        <v>51</v>
      </c>
      <c r="U194" s="1" t="s">
        <v>188</v>
      </c>
      <c r="V194">
        <v>7.58</v>
      </c>
      <c r="W194">
        <v>7.75</v>
      </c>
      <c r="X194">
        <v>7.58</v>
      </c>
      <c r="Y194">
        <v>7.75</v>
      </c>
      <c r="Z194">
        <v>7.58</v>
      </c>
      <c r="AA194">
        <v>7.67</v>
      </c>
      <c r="AB194">
        <v>10</v>
      </c>
      <c r="AC194">
        <v>10</v>
      </c>
      <c r="AD194">
        <v>10</v>
      </c>
      <c r="AE194">
        <v>7.67</v>
      </c>
      <c r="AF194">
        <v>83.58</v>
      </c>
      <c r="AG194">
        <v>9.1</v>
      </c>
      <c r="AH194">
        <v>0</v>
      </c>
      <c r="AI194">
        <v>0</v>
      </c>
      <c r="AJ194" s="1" t="s">
        <v>53</v>
      </c>
      <c r="AK194">
        <v>0</v>
      </c>
      <c r="AL194" s="1" t="s">
        <v>268</v>
      </c>
      <c r="AM194" s="1" t="s">
        <v>64</v>
      </c>
      <c r="AN194" s="1" t="s">
        <v>70</v>
      </c>
      <c r="AO194" s="1" t="s">
        <v>71</v>
      </c>
      <c r="AP194" s="4">
        <f>AVERAGEIF(df_arabica_clean[Country of Origin],df_arabica_clean[[#This Row],[Country of Origin]],df_arabica_clean[Total Cup Points])</f>
        <v>84.350327868852446</v>
      </c>
      <c r="AQ194" s="1">
        <f>+COUNTIF(df_arabica_clean[Country of Origin],df_arabica_clean[[#This Row],[Country of Origin]])</f>
        <v>61</v>
      </c>
    </row>
    <row r="195" spans="1:43" hidden="1" x14ac:dyDescent="0.25">
      <c r="A195">
        <v>140</v>
      </c>
      <c r="B195">
        <v>140</v>
      </c>
      <c r="C195" s="1" t="s">
        <v>57</v>
      </c>
      <c r="D195" s="1" t="s">
        <v>915</v>
      </c>
      <c r="E195" s="1" t="s">
        <v>916</v>
      </c>
      <c r="F195" s="1" t="s">
        <v>915</v>
      </c>
      <c r="G195" s="1" t="s">
        <v>364</v>
      </c>
      <c r="H195" s="1">
        <v>250</v>
      </c>
      <c r="I195" s="1">
        <f>IF(df_arabica_clean[[#This Row],[Altitude]] &lt;= 2500, df_arabica_clean[[#This Row],[Altitude]], ROUND(df_arabica_clean[[#This Row],[Altitude]] / 3.281, 0))</f>
        <v>250</v>
      </c>
      <c r="J195" s="1" t="str">
        <f>IF(df_arabica_clean[[#This Row],[Altitude]]&gt;2500,"Convertido","Original")</f>
        <v>Original</v>
      </c>
      <c r="K195" s="1" t="s">
        <v>421</v>
      </c>
      <c r="L195" s="1" t="s">
        <v>917</v>
      </c>
      <c r="M195">
        <v>1</v>
      </c>
      <c r="N195" s="1" t="s">
        <v>872</v>
      </c>
      <c r="O195" s="1" t="s">
        <v>64</v>
      </c>
      <c r="P195" s="1" t="s">
        <v>48</v>
      </c>
      <c r="Q195" s="1" t="s">
        <v>266</v>
      </c>
      <c r="R195" s="1" t="s">
        <v>367</v>
      </c>
      <c r="S195" s="1" t="s">
        <v>231</v>
      </c>
      <c r="T195" s="1" t="s">
        <v>51</v>
      </c>
      <c r="U195" s="1" t="s">
        <v>188</v>
      </c>
      <c r="V195">
        <v>7.5</v>
      </c>
      <c r="W195">
        <v>7.67</v>
      </c>
      <c r="X195">
        <v>7.58</v>
      </c>
      <c r="Y195">
        <v>7.58</v>
      </c>
      <c r="Z195">
        <v>7.5</v>
      </c>
      <c r="AA195">
        <v>7.5</v>
      </c>
      <c r="AB195">
        <v>10</v>
      </c>
      <c r="AC195">
        <v>10</v>
      </c>
      <c r="AD195">
        <v>10</v>
      </c>
      <c r="AE195">
        <v>7.58</v>
      </c>
      <c r="AF195">
        <v>82.92</v>
      </c>
      <c r="AG195">
        <v>8.9</v>
      </c>
      <c r="AH195">
        <v>0</v>
      </c>
      <c r="AI195">
        <v>0</v>
      </c>
      <c r="AJ195" s="1" t="s">
        <v>68</v>
      </c>
      <c r="AK195">
        <v>0</v>
      </c>
      <c r="AL195" s="1" t="s">
        <v>268</v>
      </c>
      <c r="AM195" s="1" t="s">
        <v>64</v>
      </c>
      <c r="AN195" s="1" t="s">
        <v>70</v>
      </c>
      <c r="AO195" s="1" t="s">
        <v>71</v>
      </c>
      <c r="AP195" s="1">
        <f>AVERAGEIF(df_arabica_clean[Country of Origin],df_arabica_clean[[#This Row],[Country of Origin]],df_arabica_clean[Total Cup Points])</f>
        <v>84.350327868852446</v>
      </c>
      <c r="AQ195" s="1">
        <f>+COUNTIF(df_arabica_clean[Country of Origin],df_arabica_clean[[#This Row],[Country of Origin]])</f>
        <v>61</v>
      </c>
    </row>
    <row r="196" spans="1:43" hidden="1" x14ac:dyDescent="0.25">
      <c r="A196">
        <v>50</v>
      </c>
      <c r="B196">
        <v>50</v>
      </c>
      <c r="C196" s="1" t="s">
        <v>57</v>
      </c>
      <c r="D196" s="1" t="s">
        <v>424</v>
      </c>
      <c r="E196" s="1" t="s">
        <v>425</v>
      </c>
      <c r="F196" s="1" t="s">
        <v>424</v>
      </c>
      <c r="G196" s="1" t="s">
        <v>364</v>
      </c>
      <c r="H196" s="1">
        <v>230</v>
      </c>
      <c r="I196" s="1">
        <f>IF(df_arabica_clean[[#This Row],[Altitude]] &lt;= 2500, df_arabica_clean[[#This Row],[Altitude]], ROUND(df_arabica_clean[[#This Row],[Altitude]] / 3.281, 0))</f>
        <v>230</v>
      </c>
      <c r="J196" s="1" t="str">
        <f>IF(df_arabica_clean[[#This Row],[Altitude]]&gt;2500,"Convertido","Original")</f>
        <v>Original</v>
      </c>
      <c r="K196" s="1" t="s">
        <v>421</v>
      </c>
      <c r="L196" s="1" t="s">
        <v>426</v>
      </c>
      <c r="M196">
        <v>1</v>
      </c>
      <c r="N196" s="1" t="s">
        <v>427</v>
      </c>
      <c r="O196" s="1" t="s">
        <v>64</v>
      </c>
      <c r="P196" s="1" t="s">
        <v>48</v>
      </c>
      <c r="Q196" s="1" t="s">
        <v>266</v>
      </c>
      <c r="R196" s="1" t="s">
        <v>367</v>
      </c>
      <c r="S196" s="1" t="s">
        <v>428</v>
      </c>
      <c r="T196" s="1" t="s">
        <v>51</v>
      </c>
      <c r="U196" s="1" t="s">
        <v>118</v>
      </c>
      <c r="V196">
        <v>8</v>
      </c>
      <c r="W196">
        <v>8</v>
      </c>
      <c r="X196">
        <v>7.75</v>
      </c>
      <c r="Y196">
        <v>7.75</v>
      </c>
      <c r="Z196">
        <v>7.67</v>
      </c>
      <c r="AA196">
        <v>7.75</v>
      </c>
      <c r="AB196">
        <v>10</v>
      </c>
      <c r="AC196">
        <v>10</v>
      </c>
      <c r="AD196">
        <v>10</v>
      </c>
      <c r="AE196">
        <v>7.92</v>
      </c>
      <c r="AF196">
        <v>84.83</v>
      </c>
      <c r="AG196">
        <v>9.6999999999999993</v>
      </c>
      <c r="AH196">
        <v>0</v>
      </c>
      <c r="AI196">
        <v>0</v>
      </c>
      <c r="AJ196" s="1" t="s">
        <v>160</v>
      </c>
      <c r="AK196">
        <v>0</v>
      </c>
      <c r="AL196" s="1" t="s">
        <v>268</v>
      </c>
      <c r="AM196" s="1" t="s">
        <v>64</v>
      </c>
      <c r="AN196" s="1" t="s">
        <v>70</v>
      </c>
      <c r="AO196" s="1" t="s">
        <v>71</v>
      </c>
      <c r="AP196" s="1">
        <f>AVERAGEIF(df_arabica_clean[Country of Origin],df_arabica_clean[[#This Row],[Country of Origin]],df_arabica_clean[Total Cup Points])</f>
        <v>84.350327868852446</v>
      </c>
      <c r="AQ196" s="1">
        <f>+COUNTIF(df_arabica_clean[Country of Origin],df_arabica_clean[[#This Row],[Country of Origin]])</f>
        <v>61</v>
      </c>
    </row>
    <row r="197" spans="1:43" hidden="1" x14ac:dyDescent="0.25">
      <c r="A197">
        <v>62</v>
      </c>
      <c r="B197">
        <v>62</v>
      </c>
      <c r="C197" s="1" t="s">
        <v>57</v>
      </c>
      <c r="D197" s="1" t="s">
        <v>511</v>
      </c>
      <c r="E197" s="1" t="s">
        <v>512</v>
      </c>
      <c r="F197" s="1" t="s">
        <v>511</v>
      </c>
      <c r="G197" s="1" t="s">
        <v>364</v>
      </c>
      <c r="H197" s="1">
        <v>200</v>
      </c>
      <c r="I197" s="1">
        <f>IF(df_arabica_clean[[#This Row],[Altitude]] &lt;= 2500, df_arabica_clean[[#This Row],[Altitude]], ROUND(df_arabica_clean[[#This Row],[Altitude]] / 3.281, 0))</f>
        <v>200</v>
      </c>
      <c r="J197" s="1" t="str">
        <f>IF(df_arabica_clean[[#This Row],[Altitude]]&gt;2500,"Convertido","Original")</f>
        <v>Original</v>
      </c>
      <c r="K197" s="1" t="s">
        <v>421</v>
      </c>
      <c r="L197" s="1" t="s">
        <v>513</v>
      </c>
      <c r="M197">
        <v>1</v>
      </c>
      <c r="N197" s="1" t="s">
        <v>514</v>
      </c>
      <c r="O197" s="1" t="s">
        <v>64</v>
      </c>
      <c r="P197" s="1" t="s">
        <v>48</v>
      </c>
      <c r="Q197" s="1" t="s">
        <v>266</v>
      </c>
      <c r="R197" s="1" t="s">
        <v>367</v>
      </c>
      <c r="S197" s="1" t="s">
        <v>231</v>
      </c>
      <c r="T197" s="1" t="s">
        <v>51</v>
      </c>
      <c r="U197" s="1" t="s">
        <v>188</v>
      </c>
      <c r="V197">
        <v>7.83</v>
      </c>
      <c r="W197">
        <v>7.83</v>
      </c>
      <c r="X197">
        <v>7.75</v>
      </c>
      <c r="Y197">
        <v>7.75</v>
      </c>
      <c r="Z197">
        <v>7.75</v>
      </c>
      <c r="AA197">
        <v>7.75</v>
      </c>
      <c r="AB197">
        <v>10</v>
      </c>
      <c r="AC197">
        <v>10</v>
      </c>
      <c r="AD197">
        <v>10</v>
      </c>
      <c r="AE197">
        <v>7.92</v>
      </c>
      <c r="AF197">
        <v>84.58</v>
      </c>
      <c r="AG197">
        <v>9.6</v>
      </c>
      <c r="AH197">
        <v>0</v>
      </c>
      <c r="AI197">
        <v>0</v>
      </c>
      <c r="AJ197" s="1" t="s">
        <v>125</v>
      </c>
      <c r="AK197">
        <v>0</v>
      </c>
      <c r="AL197" s="1" t="s">
        <v>268</v>
      </c>
      <c r="AM197" s="1" t="s">
        <v>64</v>
      </c>
      <c r="AN197" s="1" t="s">
        <v>70</v>
      </c>
      <c r="AO197" s="1" t="s">
        <v>71</v>
      </c>
      <c r="AP197" s="4">
        <f>AVERAGEIF(df_arabica_clean[Country of Origin],df_arabica_clean[[#This Row],[Country of Origin]],df_arabica_clean[Total Cup Points])</f>
        <v>84.350327868852446</v>
      </c>
      <c r="AQ197" s="1">
        <f>+COUNTIF(df_arabica_clean[Country of Origin],df_arabica_clean[[#This Row],[Country of Origin]])</f>
        <v>61</v>
      </c>
    </row>
    <row r="198" spans="1:43" hidden="1" x14ac:dyDescent="0.25">
      <c r="A198">
        <v>108</v>
      </c>
      <c r="B198">
        <v>108</v>
      </c>
      <c r="C198" s="1" t="s">
        <v>57</v>
      </c>
      <c r="D198" s="1" t="s">
        <v>762</v>
      </c>
      <c r="E198" s="1" t="s">
        <v>763</v>
      </c>
      <c r="F198" s="1" t="s">
        <v>762</v>
      </c>
      <c r="G198" s="1" t="s">
        <v>364</v>
      </c>
      <c r="H198" s="1">
        <v>200</v>
      </c>
      <c r="I198" s="1">
        <f>IF(df_arabica_clean[[#This Row],[Altitude]] &lt;= 2500, df_arabica_clean[[#This Row],[Altitude]], ROUND(df_arabica_clean[[#This Row],[Altitude]] / 3.281, 0))</f>
        <v>200</v>
      </c>
      <c r="J198" s="1" t="str">
        <f>IF(df_arabica_clean[[#This Row],[Altitude]]&gt;2500,"Convertido","Original")</f>
        <v>Original</v>
      </c>
      <c r="K198" s="1" t="s">
        <v>421</v>
      </c>
      <c r="L198" s="1" t="s">
        <v>764</v>
      </c>
      <c r="M198">
        <v>1</v>
      </c>
      <c r="N198" s="1" t="s">
        <v>423</v>
      </c>
      <c r="O198" s="1" t="s">
        <v>64</v>
      </c>
      <c r="P198" s="1" t="s">
        <v>48</v>
      </c>
      <c r="Q198" s="1" t="s">
        <v>266</v>
      </c>
      <c r="R198" s="1" t="s">
        <v>367</v>
      </c>
      <c r="S198" s="1" t="s">
        <v>553</v>
      </c>
      <c r="T198" s="1" t="s">
        <v>51</v>
      </c>
      <c r="U198" s="1" t="s">
        <v>188</v>
      </c>
      <c r="V198">
        <v>7.58</v>
      </c>
      <c r="W198">
        <v>7.75</v>
      </c>
      <c r="X198">
        <v>7.67</v>
      </c>
      <c r="Y198">
        <v>7.83</v>
      </c>
      <c r="Z198">
        <v>7.5</v>
      </c>
      <c r="AA198">
        <v>7.67</v>
      </c>
      <c r="AB198">
        <v>10</v>
      </c>
      <c r="AC198">
        <v>10</v>
      </c>
      <c r="AD198">
        <v>10</v>
      </c>
      <c r="AE198">
        <v>7.67</v>
      </c>
      <c r="AF198">
        <v>83.67</v>
      </c>
      <c r="AG198">
        <v>9.1999999999999993</v>
      </c>
      <c r="AH198">
        <v>0</v>
      </c>
      <c r="AI198">
        <v>0</v>
      </c>
      <c r="AJ198" s="1" t="s">
        <v>125</v>
      </c>
      <c r="AK198">
        <v>0</v>
      </c>
      <c r="AL198" s="1" t="s">
        <v>268</v>
      </c>
      <c r="AM198" s="1" t="s">
        <v>64</v>
      </c>
      <c r="AN198" s="1" t="s">
        <v>70</v>
      </c>
      <c r="AO198" s="1" t="s">
        <v>71</v>
      </c>
      <c r="AP198" s="1">
        <f>AVERAGEIF(df_arabica_clean[Country of Origin],df_arabica_clean[[#This Row],[Country of Origin]],df_arabica_clean[Total Cup Points])</f>
        <v>84.350327868852446</v>
      </c>
      <c r="AQ198" s="1">
        <f>+COUNTIF(df_arabica_clean[Country of Origin],df_arabica_clean[[#This Row],[Country of Origin]])</f>
        <v>61</v>
      </c>
    </row>
    <row r="199" spans="1:43" hidden="1" x14ac:dyDescent="0.25">
      <c r="A199">
        <v>121</v>
      </c>
      <c r="B199">
        <v>121</v>
      </c>
      <c r="C199" s="1" t="s">
        <v>57</v>
      </c>
      <c r="D199" s="1" t="s">
        <v>831</v>
      </c>
      <c r="E199" s="1" t="s">
        <v>832</v>
      </c>
      <c r="F199" s="1" t="s">
        <v>831</v>
      </c>
      <c r="G199" s="1" t="s">
        <v>364</v>
      </c>
      <c r="H199" s="1">
        <v>200</v>
      </c>
      <c r="I199" s="1">
        <f>IF(df_arabica_clean[[#This Row],[Altitude]] &lt;= 2500, df_arabica_clean[[#This Row],[Altitude]], ROUND(df_arabica_clean[[#This Row],[Altitude]] / 3.281, 0))</f>
        <v>200</v>
      </c>
      <c r="J199" s="1" t="str">
        <f>IF(df_arabica_clean[[#This Row],[Altitude]]&gt;2500,"Convertido","Original")</f>
        <v>Original</v>
      </c>
      <c r="K199" s="1" t="s">
        <v>421</v>
      </c>
      <c r="L199" s="1" t="s">
        <v>833</v>
      </c>
      <c r="M199">
        <v>1</v>
      </c>
      <c r="N199" s="1" t="s">
        <v>834</v>
      </c>
      <c r="O199" s="1" t="s">
        <v>64</v>
      </c>
      <c r="P199" s="1" t="s">
        <v>48</v>
      </c>
      <c r="Q199" s="1" t="s">
        <v>266</v>
      </c>
      <c r="R199" s="1" t="s">
        <v>367</v>
      </c>
      <c r="S199" s="1" t="s">
        <v>231</v>
      </c>
      <c r="T199" s="1" t="s">
        <v>51</v>
      </c>
      <c r="U199" s="1" t="s">
        <v>188</v>
      </c>
      <c r="V199">
        <v>7.58</v>
      </c>
      <c r="W199">
        <v>7.67</v>
      </c>
      <c r="X199">
        <v>7.5</v>
      </c>
      <c r="Y199">
        <v>7.75</v>
      </c>
      <c r="Z199">
        <v>7.5</v>
      </c>
      <c r="AA199">
        <v>7.58</v>
      </c>
      <c r="AB199">
        <v>10</v>
      </c>
      <c r="AC199">
        <v>10</v>
      </c>
      <c r="AD199">
        <v>10</v>
      </c>
      <c r="AE199">
        <v>7.75</v>
      </c>
      <c r="AF199">
        <v>83.33</v>
      </c>
      <c r="AG199">
        <v>9.6999999999999993</v>
      </c>
      <c r="AH199">
        <v>0</v>
      </c>
      <c r="AI199">
        <v>0</v>
      </c>
      <c r="AJ199" s="1" t="s">
        <v>125</v>
      </c>
      <c r="AK199">
        <v>0</v>
      </c>
      <c r="AL199" s="1" t="s">
        <v>268</v>
      </c>
      <c r="AM199" s="1" t="s">
        <v>64</v>
      </c>
      <c r="AN199" s="1" t="s">
        <v>70</v>
      </c>
      <c r="AO199" s="1" t="s">
        <v>71</v>
      </c>
      <c r="AP199" s="4">
        <f>AVERAGEIF(df_arabica_clean[Country of Origin],df_arabica_clean[[#This Row],[Country of Origin]],df_arabica_clean[Total Cup Points])</f>
        <v>84.350327868852446</v>
      </c>
      <c r="AQ199" s="1">
        <f>+COUNTIF(df_arabica_clean[Country of Origin],df_arabica_clean[[#This Row],[Country of Origin]])</f>
        <v>61</v>
      </c>
    </row>
    <row r="200" spans="1:43" hidden="1" x14ac:dyDescent="0.25">
      <c r="A200">
        <v>134</v>
      </c>
      <c r="B200">
        <v>134</v>
      </c>
      <c r="C200" s="1" t="s">
        <v>57</v>
      </c>
      <c r="D200" s="1" t="s">
        <v>882</v>
      </c>
      <c r="E200" s="1" t="s">
        <v>883</v>
      </c>
      <c r="F200" s="1" t="s">
        <v>882</v>
      </c>
      <c r="G200" s="1" t="s">
        <v>364</v>
      </c>
      <c r="H200" s="1">
        <v>200</v>
      </c>
      <c r="I200" s="1">
        <f>IF(df_arabica_clean[[#This Row],[Altitude]] &lt;= 2500, df_arabica_clean[[#This Row],[Altitude]], ROUND(df_arabica_clean[[#This Row],[Altitude]] / 3.281, 0))</f>
        <v>200</v>
      </c>
      <c r="J200" s="1" t="str">
        <f>IF(df_arabica_clean[[#This Row],[Altitude]]&gt;2500,"Convertido","Original")</f>
        <v>Original</v>
      </c>
      <c r="K200" s="1" t="s">
        <v>421</v>
      </c>
      <c r="L200" s="1" t="s">
        <v>884</v>
      </c>
      <c r="M200">
        <v>1</v>
      </c>
      <c r="N200" s="1" t="s">
        <v>514</v>
      </c>
      <c r="O200" s="1" t="s">
        <v>64</v>
      </c>
      <c r="P200" s="1" t="s">
        <v>48</v>
      </c>
      <c r="Q200" s="1" t="s">
        <v>266</v>
      </c>
      <c r="R200" s="1" t="s">
        <v>367</v>
      </c>
      <c r="S200" s="1" t="s">
        <v>231</v>
      </c>
      <c r="T200" s="1" t="s">
        <v>51</v>
      </c>
      <c r="U200" s="1" t="s">
        <v>118</v>
      </c>
      <c r="V200">
        <v>7.75</v>
      </c>
      <c r="W200">
        <v>7.75</v>
      </c>
      <c r="X200">
        <v>7.5</v>
      </c>
      <c r="Y200">
        <v>7.75</v>
      </c>
      <c r="Z200">
        <v>7.5</v>
      </c>
      <c r="AA200">
        <v>7.42</v>
      </c>
      <c r="AB200">
        <v>10</v>
      </c>
      <c r="AC200">
        <v>10</v>
      </c>
      <c r="AD200">
        <v>10</v>
      </c>
      <c r="AE200">
        <v>7.5</v>
      </c>
      <c r="AF200">
        <v>83.17</v>
      </c>
      <c r="AG200">
        <v>9.6999999999999993</v>
      </c>
      <c r="AH200">
        <v>0</v>
      </c>
      <c r="AI200">
        <v>0</v>
      </c>
      <c r="AJ200" s="1" t="s">
        <v>125</v>
      </c>
      <c r="AK200">
        <v>2</v>
      </c>
      <c r="AL200" s="1" t="s">
        <v>268</v>
      </c>
      <c r="AM200" s="1" t="s">
        <v>64</v>
      </c>
      <c r="AN200" s="1" t="s">
        <v>70</v>
      </c>
      <c r="AO200" s="1" t="s">
        <v>71</v>
      </c>
      <c r="AP200" s="1">
        <f>AVERAGEIF(df_arabica_clean[Country of Origin],df_arabica_clean[[#This Row],[Country of Origin]],df_arabica_clean[Total Cup Points])</f>
        <v>84.350327868852446</v>
      </c>
      <c r="AQ200" s="1">
        <f>+COUNTIF(df_arabica_clean[Country of Origin],df_arabica_clean[[#This Row],[Country of Origin]])</f>
        <v>61</v>
      </c>
    </row>
    <row r="201" spans="1:43" hidden="1" x14ac:dyDescent="0.25">
      <c r="A201">
        <v>153</v>
      </c>
      <c r="B201">
        <v>153</v>
      </c>
      <c r="C201" s="1" t="s">
        <v>57</v>
      </c>
      <c r="D201" s="1" t="s">
        <v>985</v>
      </c>
      <c r="E201" s="1" t="s">
        <v>986</v>
      </c>
      <c r="F201" s="1" t="s">
        <v>985</v>
      </c>
      <c r="G201" s="1" t="s">
        <v>364</v>
      </c>
      <c r="H201" s="1">
        <v>165</v>
      </c>
      <c r="I201" s="1">
        <f>IF(df_arabica_clean[[#This Row],[Altitude]] &lt;= 2500, df_arabica_clean[[#This Row],[Altitude]], ROUND(df_arabica_clean[[#This Row],[Altitude]] / 3.281, 0))</f>
        <v>165</v>
      </c>
      <c r="J201" s="1" t="str">
        <f>IF(df_arabica_clean[[#This Row],[Altitude]]&gt;2500,"Convertido","Original")</f>
        <v>Original</v>
      </c>
      <c r="K201" s="1" t="s">
        <v>365</v>
      </c>
      <c r="L201" s="1" t="s">
        <v>987</v>
      </c>
      <c r="M201">
        <v>1</v>
      </c>
      <c r="N201" s="1" t="s">
        <v>427</v>
      </c>
      <c r="O201" s="1" t="s">
        <v>64</v>
      </c>
      <c r="P201" s="1" t="s">
        <v>48</v>
      </c>
      <c r="Q201" s="1" t="s">
        <v>266</v>
      </c>
      <c r="R201" s="1" t="s">
        <v>367</v>
      </c>
      <c r="S201" s="1" t="s">
        <v>988</v>
      </c>
      <c r="T201" s="1" t="s">
        <v>51</v>
      </c>
      <c r="U201" s="1" t="s">
        <v>118</v>
      </c>
      <c r="V201">
        <v>7.67</v>
      </c>
      <c r="W201">
        <v>7.67</v>
      </c>
      <c r="X201">
        <v>7.42</v>
      </c>
      <c r="Y201">
        <v>7.42</v>
      </c>
      <c r="Z201">
        <v>7.42</v>
      </c>
      <c r="AA201">
        <v>7.5</v>
      </c>
      <c r="AB201">
        <v>10</v>
      </c>
      <c r="AC201">
        <v>10</v>
      </c>
      <c r="AD201">
        <v>10</v>
      </c>
      <c r="AE201">
        <v>7.5</v>
      </c>
      <c r="AF201">
        <v>82.58</v>
      </c>
      <c r="AG201">
        <v>9.8000000000000007</v>
      </c>
      <c r="AH201">
        <v>0</v>
      </c>
      <c r="AI201">
        <v>0</v>
      </c>
      <c r="AJ201" s="1" t="s">
        <v>53</v>
      </c>
      <c r="AK201">
        <v>0</v>
      </c>
      <c r="AL201" s="1" t="s">
        <v>268</v>
      </c>
      <c r="AM201" s="1" t="s">
        <v>64</v>
      </c>
      <c r="AN201" s="1" t="s">
        <v>70</v>
      </c>
      <c r="AO201" s="1" t="s">
        <v>71</v>
      </c>
      <c r="AP201" s="1">
        <f>AVERAGEIF(df_arabica_clean[Country of Origin],df_arabica_clean[[#This Row],[Country of Origin]],df_arabica_clean[Total Cup Points])</f>
        <v>84.350327868852446</v>
      </c>
      <c r="AQ201" s="1">
        <f>+COUNTIF(df_arabica_clean[Country of Origin],df_arabica_clean[[#This Row],[Country of Origin]])</f>
        <v>61</v>
      </c>
    </row>
    <row r="202" spans="1:43" hidden="1" x14ac:dyDescent="0.25">
      <c r="A202">
        <v>30</v>
      </c>
      <c r="B202">
        <v>30</v>
      </c>
      <c r="C202" s="1" t="s">
        <v>57</v>
      </c>
      <c r="D202" s="1" t="s">
        <v>290</v>
      </c>
      <c r="E202" s="1" t="s">
        <v>291</v>
      </c>
      <c r="F202" s="1" t="s">
        <v>290</v>
      </c>
      <c r="G202" s="1" t="s">
        <v>60</v>
      </c>
      <c r="H202" s="1">
        <v>150</v>
      </c>
      <c r="I202" s="1">
        <f>IF(df_arabica_clean[[#This Row],[Altitude]] &lt;= 2500, df_arabica_clean[[#This Row],[Altitude]], ROUND(df_arabica_clean[[#This Row],[Altitude]] / 3.281, 0))</f>
        <v>150</v>
      </c>
      <c r="J202" s="1" t="str">
        <f>IF(df_arabica_clean[[#This Row],[Altitude]]&gt;2500,"Convertido","Original")</f>
        <v>Original</v>
      </c>
      <c r="K202" s="1" t="s">
        <v>292</v>
      </c>
      <c r="L202" s="1" t="s">
        <v>293</v>
      </c>
      <c r="M202">
        <v>3</v>
      </c>
      <c r="N202" s="1" t="s">
        <v>294</v>
      </c>
      <c r="O202" s="1" t="s">
        <v>64</v>
      </c>
      <c r="P202" s="1" t="s">
        <v>89</v>
      </c>
      <c r="Q202" s="1" t="s">
        <v>229</v>
      </c>
      <c r="R202" s="1" t="s">
        <v>295</v>
      </c>
      <c r="S202" s="1" t="s">
        <v>231</v>
      </c>
      <c r="T202" s="1" t="s">
        <v>51</v>
      </c>
      <c r="U202" s="1" t="s">
        <v>67</v>
      </c>
      <c r="V202">
        <v>8</v>
      </c>
      <c r="W202">
        <v>8</v>
      </c>
      <c r="X202">
        <v>7.83</v>
      </c>
      <c r="Y202">
        <v>7.83</v>
      </c>
      <c r="Z202">
        <v>7.75</v>
      </c>
      <c r="AA202">
        <v>7.92</v>
      </c>
      <c r="AB202">
        <v>10</v>
      </c>
      <c r="AC202">
        <v>10</v>
      </c>
      <c r="AD202">
        <v>10</v>
      </c>
      <c r="AE202">
        <v>8.08</v>
      </c>
      <c r="AF202">
        <v>85.42</v>
      </c>
      <c r="AG202">
        <v>11.4</v>
      </c>
      <c r="AH202">
        <v>0</v>
      </c>
      <c r="AI202">
        <v>0</v>
      </c>
      <c r="AJ202" s="1" t="s">
        <v>257</v>
      </c>
      <c r="AK202">
        <v>0</v>
      </c>
      <c r="AL202" s="1" t="s">
        <v>232</v>
      </c>
      <c r="AM202" s="1" t="s">
        <v>64</v>
      </c>
      <c r="AN202" s="1" t="s">
        <v>70</v>
      </c>
      <c r="AO202" s="1" t="s">
        <v>71</v>
      </c>
      <c r="AP202" s="4">
        <f>AVERAGEIF(df_arabica_clean[Country of Origin],df_arabica_clean[[#This Row],[Country of Origin]],df_arabica_clean[Total Cup Points])</f>
        <v>84.350327868852446</v>
      </c>
      <c r="AQ202" s="1">
        <f>+COUNTIF(df_arabica_clean[Country of Origin],df_arabica_clean[[#This Row],[Country of Origin]])</f>
        <v>61</v>
      </c>
    </row>
    <row r="203" spans="1:43" hidden="1" x14ac:dyDescent="0.25">
      <c r="A203">
        <v>31</v>
      </c>
      <c r="B203">
        <v>31</v>
      </c>
      <c r="C203" s="1" t="s">
        <v>57</v>
      </c>
      <c r="D203" s="1" t="s">
        <v>290</v>
      </c>
      <c r="E203" s="1" t="s">
        <v>296</v>
      </c>
      <c r="F203" s="1" t="s">
        <v>290</v>
      </c>
      <c r="G203" s="1" t="s">
        <v>60</v>
      </c>
      <c r="H203" s="1">
        <v>150</v>
      </c>
      <c r="I203" s="1">
        <f>IF(df_arabica_clean[[#This Row],[Altitude]] &lt;= 2500, df_arabica_clean[[#This Row],[Altitude]], ROUND(df_arabica_clean[[#This Row],[Altitude]] / 3.281, 0))</f>
        <v>150</v>
      </c>
      <c r="J203" s="1" t="str">
        <f>IF(df_arabica_clean[[#This Row],[Altitude]]&gt;2500,"Convertido","Original")</f>
        <v>Original</v>
      </c>
      <c r="K203" s="1" t="s">
        <v>292</v>
      </c>
      <c r="L203" s="1" t="s">
        <v>293</v>
      </c>
      <c r="M203">
        <v>3</v>
      </c>
      <c r="N203" s="1" t="s">
        <v>256</v>
      </c>
      <c r="O203" s="1" t="s">
        <v>64</v>
      </c>
      <c r="P203" s="1" t="s">
        <v>89</v>
      </c>
      <c r="Q203" s="1" t="s">
        <v>229</v>
      </c>
      <c r="R203" s="1" t="s">
        <v>295</v>
      </c>
      <c r="S203" s="1" t="s">
        <v>231</v>
      </c>
      <c r="T203" s="1" t="s">
        <v>51</v>
      </c>
      <c r="U203" s="1" t="s">
        <v>67</v>
      </c>
      <c r="V203">
        <v>7.92</v>
      </c>
      <c r="W203">
        <v>8</v>
      </c>
      <c r="X203">
        <v>7.83</v>
      </c>
      <c r="Y203">
        <v>7.92</v>
      </c>
      <c r="Z203">
        <v>7.83</v>
      </c>
      <c r="AA203">
        <v>7.83</v>
      </c>
      <c r="AB203">
        <v>10</v>
      </c>
      <c r="AC203">
        <v>10</v>
      </c>
      <c r="AD203">
        <v>10</v>
      </c>
      <c r="AE203">
        <v>8</v>
      </c>
      <c r="AF203">
        <v>85.33</v>
      </c>
      <c r="AG203">
        <v>10.8</v>
      </c>
      <c r="AH203">
        <v>0</v>
      </c>
      <c r="AI203">
        <v>0</v>
      </c>
      <c r="AJ203" s="1" t="s">
        <v>53</v>
      </c>
      <c r="AK203">
        <v>0</v>
      </c>
      <c r="AL203" s="1" t="s">
        <v>232</v>
      </c>
      <c r="AM203" s="1" t="s">
        <v>64</v>
      </c>
      <c r="AN203" s="1" t="s">
        <v>70</v>
      </c>
      <c r="AO203" s="1" t="s">
        <v>71</v>
      </c>
      <c r="AP203" s="4">
        <f>AVERAGEIF(df_arabica_clean[Country of Origin],df_arabica_clean[[#This Row],[Country of Origin]],df_arabica_clean[Total Cup Points])</f>
        <v>84.350327868852446</v>
      </c>
      <c r="AQ203" s="1">
        <f>+COUNTIF(df_arabica_clean[Country of Origin],df_arabica_clean[[#This Row],[Country of Origin]])</f>
        <v>61</v>
      </c>
    </row>
    <row r="204" spans="1:43" hidden="1" x14ac:dyDescent="0.25">
      <c r="A204">
        <v>44</v>
      </c>
      <c r="B204">
        <v>44</v>
      </c>
      <c r="C204" s="1" t="s">
        <v>57</v>
      </c>
      <c r="D204" s="1" t="s">
        <v>383</v>
      </c>
      <c r="E204" s="1" t="s">
        <v>384</v>
      </c>
      <c r="F204" s="1" t="s">
        <v>383</v>
      </c>
      <c r="G204" s="1" t="s">
        <v>60</v>
      </c>
      <c r="H204" s="1">
        <v>150</v>
      </c>
      <c r="I204" s="1">
        <f>IF(df_arabica_clean[[#This Row],[Altitude]] &lt;= 2500, df_arabica_clean[[#This Row],[Altitude]], ROUND(df_arabica_clean[[#This Row],[Altitude]] / 3.281, 0))</f>
        <v>150</v>
      </c>
      <c r="J204" s="1" t="str">
        <f>IF(df_arabica_clean[[#This Row],[Altitude]]&gt;2500,"Convertido","Original")</f>
        <v>Original</v>
      </c>
      <c r="K204" s="1" t="s">
        <v>292</v>
      </c>
      <c r="L204" s="1" t="s">
        <v>385</v>
      </c>
      <c r="M204">
        <v>1</v>
      </c>
      <c r="N204" s="1" t="s">
        <v>256</v>
      </c>
      <c r="O204" s="1" t="s">
        <v>64</v>
      </c>
      <c r="P204" s="1" t="s">
        <v>48</v>
      </c>
      <c r="Q204" s="1" t="s">
        <v>229</v>
      </c>
      <c r="R204" s="1" t="s">
        <v>386</v>
      </c>
      <c r="S204" s="1" t="s">
        <v>231</v>
      </c>
      <c r="T204" s="1" t="s">
        <v>51</v>
      </c>
      <c r="U204" s="1" t="s">
        <v>42</v>
      </c>
      <c r="V204">
        <v>7.92</v>
      </c>
      <c r="W204">
        <v>8</v>
      </c>
      <c r="X204">
        <v>7.92</v>
      </c>
      <c r="Y204">
        <v>8</v>
      </c>
      <c r="Z204">
        <v>7.58</v>
      </c>
      <c r="AA204">
        <v>7.75</v>
      </c>
      <c r="AB204">
        <v>10</v>
      </c>
      <c r="AC204">
        <v>10</v>
      </c>
      <c r="AD204">
        <v>10</v>
      </c>
      <c r="AE204">
        <v>7.83</v>
      </c>
      <c r="AF204">
        <v>85</v>
      </c>
      <c r="AG204">
        <v>10.9</v>
      </c>
      <c r="AH204">
        <v>0</v>
      </c>
      <c r="AI204">
        <v>0</v>
      </c>
      <c r="AJ204" s="1" t="s">
        <v>53</v>
      </c>
      <c r="AK204">
        <v>0</v>
      </c>
      <c r="AL204" s="1" t="s">
        <v>232</v>
      </c>
      <c r="AM204" s="1" t="s">
        <v>64</v>
      </c>
      <c r="AN204" s="1" t="s">
        <v>70</v>
      </c>
      <c r="AO204" s="1" t="s">
        <v>71</v>
      </c>
      <c r="AP204" s="1">
        <f>AVERAGEIF(df_arabica_clean[Country of Origin],df_arabica_clean[[#This Row],[Country of Origin]],df_arabica_clean[Total Cup Points])</f>
        <v>84.350327868852446</v>
      </c>
      <c r="AQ204" s="1">
        <f>+COUNTIF(df_arabica_clean[Country of Origin],df_arabica_clean[[#This Row],[Country of Origin]])</f>
        <v>61</v>
      </c>
    </row>
    <row r="205" spans="1:43" hidden="1" x14ac:dyDescent="0.25">
      <c r="A205">
        <v>84</v>
      </c>
      <c r="B205">
        <v>84</v>
      </c>
      <c r="C205" s="1" t="s">
        <v>57</v>
      </c>
      <c r="D205" s="1" t="s">
        <v>631</v>
      </c>
      <c r="E205" s="1" t="s">
        <v>632</v>
      </c>
      <c r="F205" s="1" t="s">
        <v>631</v>
      </c>
      <c r="G205" s="1" t="s">
        <v>364</v>
      </c>
      <c r="H205" s="1">
        <v>150</v>
      </c>
      <c r="I205" s="1">
        <f>IF(df_arabica_clean[[#This Row],[Altitude]] &lt;= 2500, df_arabica_clean[[#This Row],[Altitude]], ROUND(df_arabica_clean[[#This Row],[Altitude]] / 3.281, 0))</f>
        <v>150</v>
      </c>
      <c r="J205" s="1" t="str">
        <f>IF(df_arabica_clean[[#This Row],[Altitude]]&gt;2500,"Convertido","Original")</f>
        <v>Original</v>
      </c>
      <c r="K205" s="1" t="s">
        <v>633</v>
      </c>
      <c r="L205" s="1" t="s">
        <v>634</v>
      </c>
      <c r="M205">
        <v>1</v>
      </c>
      <c r="N205" s="1" t="s">
        <v>635</v>
      </c>
      <c r="O205" s="1" t="s">
        <v>64</v>
      </c>
      <c r="P205" s="1" t="s">
        <v>48</v>
      </c>
      <c r="Q205" s="1" t="s">
        <v>266</v>
      </c>
      <c r="R205" s="1" t="s">
        <v>367</v>
      </c>
      <c r="S205" s="1" t="s">
        <v>553</v>
      </c>
      <c r="T205" s="1" t="s">
        <v>51</v>
      </c>
      <c r="U205" s="1" t="s">
        <v>188</v>
      </c>
      <c r="V205">
        <v>7.83</v>
      </c>
      <c r="W205">
        <v>7.92</v>
      </c>
      <c r="X205">
        <v>7.83</v>
      </c>
      <c r="Y205">
        <v>7.58</v>
      </c>
      <c r="Z205">
        <v>7.58</v>
      </c>
      <c r="AA205">
        <v>7.67</v>
      </c>
      <c r="AB205">
        <v>10</v>
      </c>
      <c r="AC205">
        <v>10</v>
      </c>
      <c r="AD205">
        <v>10</v>
      </c>
      <c r="AE205">
        <v>7.67</v>
      </c>
      <c r="AF205">
        <v>84.08</v>
      </c>
      <c r="AG205">
        <v>10.8</v>
      </c>
      <c r="AH205">
        <v>0</v>
      </c>
      <c r="AI205">
        <v>0</v>
      </c>
      <c r="AJ205" s="1" t="s">
        <v>125</v>
      </c>
      <c r="AK205">
        <v>2</v>
      </c>
      <c r="AL205" s="1" t="s">
        <v>268</v>
      </c>
      <c r="AM205" s="1" t="s">
        <v>64</v>
      </c>
      <c r="AN205" s="1" t="s">
        <v>70</v>
      </c>
      <c r="AO205" s="1" t="s">
        <v>71</v>
      </c>
      <c r="AP205" s="4">
        <f>AVERAGEIF(df_arabica_clean[Country of Origin],df_arabica_clean[[#This Row],[Country of Origin]],df_arabica_clean[Total Cup Points])</f>
        <v>84.350327868852446</v>
      </c>
      <c r="AQ205" s="1">
        <f>+COUNTIF(df_arabica_clean[Country of Origin],df_arabica_clean[[#This Row],[Country of Origin]])</f>
        <v>61</v>
      </c>
    </row>
    <row r="206" spans="1:43" hidden="1" x14ac:dyDescent="0.25">
      <c r="A206">
        <v>167</v>
      </c>
      <c r="B206">
        <v>167</v>
      </c>
      <c r="C206" s="1" t="s">
        <v>57</v>
      </c>
      <c r="D206" s="1" t="s">
        <v>1047</v>
      </c>
      <c r="E206" s="1" t="s">
        <v>1048</v>
      </c>
      <c r="F206" s="1" t="s">
        <v>1047</v>
      </c>
      <c r="G206" s="1" t="s">
        <v>364</v>
      </c>
      <c r="H206" s="1">
        <v>140</v>
      </c>
      <c r="I206" s="1">
        <f>IF(df_arabica_clean[[#This Row],[Altitude]] &lt;= 2500, df_arabica_clean[[#This Row],[Altitude]], ROUND(df_arabica_clean[[#This Row],[Altitude]] / 3.281, 0))</f>
        <v>140</v>
      </c>
      <c r="J206" s="1" t="str">
        <f>IF(df_arabica_clean[[#This Row],[Altitude]]&gt;2500,"Convertido","Original")</f>
        <v>Original</v>
      </c>
      <c r="K206" s="1" t="s">
        <v>421</v>
      </c>
      <c r="L206" s="1" t="s">
        <v>1049</v>
      </c>
      <c r="M206">
        <v>1</v>
      </c>
      <c r="N206" s="1" t="s">
        <v>192</v>
      </c>
      <c r="O206" s="1" t="s">
        <v>64</v>
      </c>
      <c r="P206" s="1" t="s">
        <v>48</v>
      </c>
      <c r="Q206" s="1" t="s">
        <v>266</v>
      </c>
      <c r="R206" s="1" t="s">
        <v>367</v>
      </c>
      <c r="S206" s="1" t="s">
        <v>553</v>
      </c>
      <c r="T206" s="1" t="s">
        <v>51</v>
      </c>
      <c r="U206" s="1" t="s">
        <v>118</v>
      </c>
      <c r="V206">
        <v>7.67</v>
      </c>
      <c r="W206">
        <v>7.58</v>
      </c>
      <c r="X206">
        <v>7.42</v>
      </c>
      <c r="Y206">
        <v>7.5</v>
      </c>
      <c r="Z206">
        <v>7.33</v>
      </c>
      <c r="AA206">
        <v>7.42</v>
      </c>
      <c r="AB206">
        <v>10</v>
      </c>
      <c r="AC206">
        <v>10</v>
      </c>
      <c r="AD206">
        <v>10</v>
      </c>
      <c r="AE206">
        <v>7.42</v>
      </c>
      <c r="AF206">
        <v>82.33</v>
      </c>
      <c r="AG206">
        <v>10.8</v>
      </c>
      <c r="AH206">
        <v>0</v>
      </c>
      <c r="AI206">
        <v>0</v>
      </c>
      <c r="AJ206" s="1" t="s">
        <v>53</v>
      </c>
      <c r="AK206">
        <v>1</v>
      </c>
      <c r="AL206" s="1" t="s">
        <v>268</v>
      </c>
      <c r="AM206" s="1" t="s">
        <v>64</v>
      </c>
      <c r="AN206" s="1" t="s">
        <v>70</v>
      </c>
      <c r="AO206" s="1" t="s">
        <v>71</v>
      </c>
      <c r="AP206" s="1">
        <f>AVERAGEIF(df_arabica_clean[Country of Origin],df_arabica_clean[[#This Row],[Country of Origin]],df_arabica_clean[Total Cup Points])</f>
        <v>84.350327868852446</v>
      </c>
      <c r="AQ206" s="1">
        <f>+COUNTIF(df_arabica_clean[Country of Origin],df_arabica_clean[[#This Row],[Country of Origin]])</f>
        <v>61</v>
      </c>
    </row>
    <row r="207" spans="1:43" hidden="1" x14ac:dyDescent="0.25">
      <c r="A207">
        <v>162</v>
      </c>
      <c r="B207">
        <v>162</v>
      </c>
      <c r="C207" s="1" t="s">
        <v>57</v>
      </c>
      <c r="D207" s="1" t="s">
        <v>1028</v>
      </c>
      <c r="E207" s="1" t="s">
        <v>1029</v>
      </c>
      <c r="F207" s="1" t="s">
        <v>1028</v>
      </c>
      <c r="G207" s="1" t="s">
        <v>364</v>
      </c>
      <c r="H207" s="1">
        <v>139</v>
      </c>
      <c r="I207" s="1">
        <f>IF(df_arabica_clean[[#This Row],[Altitude]] &lt;= 2500, df_arabica_clean[[#This Row],[Altitude]], ROUND(df_arabica_clean[[#This Row],[Altitude]] / 3.281, 0))</f>
        <v>139</v>
      </c>
      <c r="J207" s="1" t="str">
        <f>IF(df_arabica_clean[[#This Row],[Altitude]]&gt;2500,"Convertido","Original")</f>
        <v>Original</v>
      </c>
      <c r="K207" s="1" t="s">
        <v>421</v>
      </c>
      <c r="L207" s="1" t="s">
        <v>1030</v>
      </c>
      <c r="M207">
        <v>1</v>
      </c>
      <c r="N207" s="1" t="s">
        <v>1031</v>
      </c>
      <c r="O207" s="1" t="s">
        <v>64</v>
      </c>
      <c r="P207" s="1" t="s">
        <v>48</v>
      </c>
      <c r="Q207" s="1" t="s">
        <v>266</v>
      </c>
      <c r="R207" s="1" t="s">
        <v>367</v>
      </c>
      <c r="S207" s="1" t="s">
        <v>553</v>
      </c>
      <c r="T207" s="1" t="s">
        <v>51</v>
      </c>
      <c r="U207" s="1" t="s">
        <v>67</v>
      </c>
      <c r="V207">
        <v>7.42</v>
      </c>
      <c r="W207">
        <v>7.42</v>
      </c>
      <c r="X207">
        <v>7.58</v>
      </c>
      <c r="Y207">
        <v>7.42</v>
      </c>
      <c r="Z207">
        <v>7.58</v>
      </c>
      <c r="AA207">
        <v>7.5</v>
      </c>
      <c r="AB207">
        <v>10</v>
      </c>
      <c r="AC207">
        <v>10</v>
      </c>
      <c r="AD207">
        <v>10</v>
      </c>
      <c r="AE207">
        <v>7.58</v>
      </c>
      <c r="AF207">
        <v>82.5</v>
      </c>
      <c r="AG207">
        <v>8.4</v>
      </c>
      <c r="AH207">
        <v>0</v>
      </c>
      <c r="AI207">
        <v>0</v>
      </c>
      <c r="AJ207" s="1" t="s">
        <v>53</v>
      </c>
      <c r="AK207">
        <v>2</v>
      </c>
      <c r="AL207" s="1" t="s">
        <v>268</v>
      </c>
      <c r="AM207" s="1" t="s">
        <v>64</v>
      </c>
      <c r="AN207" s="1" t="s">
        <v>70</v>
      </c>
      <c r="AO207" s="1" t="s">
        <v>71</v>
      </c>
      <c r="AP207" s="1">
        <f>AVERAGEIF(df_arabica_clean[Country of Origin],df_arabica_clean[[#This Row],[Country of Origin]],df_arabica_clean[Total Cup Points])</f>
        <v>84.350327868852446</v>
      </c>
      <c r="AQ207" s="1">
        <f>+COUNTIF(df_arabica_clean[Country of Origin],df_arabica_clean[[#This Row],[Country of Origin]])</f>
        <v>61</v>
      </c>
    </row>
    <row r="208" spans="1:43" x14ac:dyDescent="0.25">
      <c r="A208">
        <v>99</v>
      </c>
      <c r="B208">
        <v>99</v>
      </c>
      <c r="C208" s="1" t="s">
        <v>100</v>
      </c>
      <c r="D208" s="1" t="s">
        <v>495</v>
      </c>
      <c r="E208" s="1" t="s">
        <v>710</v>
      </c>
      <c r="F208" s="1" t="s">
        <v>711</v>
      </c>
      <c r="G208" s="1" t="s">
        <v>712</v>
      </c>
      <c r="H208" s="1">
        <v>4895</v>
      </c>
      <c r="I208" s="1">
        <f>IF(df_arabica_clean[[#This Row],[Altitude]] &lt;= 2500, df_arabica_clean[[#This Row],[Altitude]], ROUND(df_arabica_clean[[#This Row],[Altitude]] / 3.281, 0))</f>
        <v>1492</v>
      </c>
      <c r="J208" s="1" t="str">
        <f>IF(df_arabica_clean[[#This Row],[Altitude]]&gt;2500,"Convertido","Original")</f>
        <v>Convertido</v>
      </c>
      <c r="K208" s="1" t="s">
        <v>499</v>
      </c>
      <c r="L208" s="1" t="s">
        <v>498</v>
      </c>
      <c r="M208">
        <v>635</v>
      </c>
      <c r="N208" s="1" t="s">
        <v>106</v>
      </c>
      <c r="O208" s="1" t="s">
        <v>396</v>
      </c>
      <c r="P208" s="1" t="s">
        <v>48</v>
      </c>
      <c r="Q208" s="1" t="s">
        <v>500</v>
      </c>
      <c r="R208" s="1" t="s">
        <v>417</v>
      </c>
      <c r="S208" s="1" t="s">
        <v>137</v>
      </c>
      <c r="T208" s="1" t="s">
        <v>51</v>
      </c>
      <c r="U208" s="1" t="s">
        <v>67</v>
      </c>
      <c r="V208">
        <v>7.58</v>
      </c>
      <c r="W208">
        <v>7.92</v>
      </c>
      <c r="X208">
        <v>7.5</v>
      </c>
      <c r="Y208">
        <v>7.67</v>
      </c>
      <c r="Z208">
        <v>7.75</v>
      </c>
      <c r="AA208">
        <v>7.67</v>
      </c>
      <c r="AB208">
        <v>10</v>
      </c>
      <c r="AC208">
        <v>10</v>
      </c>
      <c r="AD208">
        <v>10</v>
      </c>
      <c r="AE208">
        <v>7.75</v>
      </c>
      <c r="AF208">
        <v>83.83</v>
      </c>
      <c r="AG208">
        <v>10.9</v>
      </c>
      <c r="AH208">
        <v>0</v>
      </c>
      <c r="AI208">
        <v>1</v>
      </c>
      <c r="AJ208" s="1" t="s">
        <v>125</v>
      </c>
      <c r="AK208">
        <v>4</v>
      </c>
      <c r="AL208" s="1" t="s">
        <v>501</v>
      </c>
      <c r="AM208" s="1" t="s">
        <v>396</v>
      </c>
      <c r="AN208" s="1" t="s">
        <v>400</v>
      </c>
      <c r="AO208" s="1" t="s">
        <v>401</v>
      </c>
      <c r="AP208" s="5">
        <f>AVERAGEIF(df_arabica_clean[Country of Origin],df_arabica_clean[[#This Row],[Country of Origin]],df_arabica_clean[Total Cup Points])</f>
        <v>84.301428571428573</v>
      </c>
      <c r="AQ208" s="1">
        <f>+COUNTIF(df_arabica_clean[Country of Origin],df_arabica_clean[[#This Row],[Country of Origin]])</f>
        <v>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979A-1FE5-47E4-B9FB-FA9B19962F2A}">
  <dimension ref="A3:D30"/>
  <sheetViews>
    <sheetView workbookViewId="0">
      <selection activeCell="B40" sqref="B40"/>
    </sheetView>
  </sheetViews>
  <sheetFormatPr baseColWidth="10" defaultRowHeight="15" x14ac:dyDescent="0.25"/>
  <cols>
    <col min="1" max="1" width="17.28515625" bestFit="1" customWidth="1"/>
    <col min="2" max="2" width="18.7109375" bestFit="1" customWidth="1"/>
    <col min="3" max="3" width="18.42578125" bestFit="1" customWidth="1"/>
    <col min="4" max="5" width="20" bestFit="1" customWidth="1"/>
    <col min="6" max="6" width="6" bestFit="1" customWidth="1"/>
    <col min="7" max="7" width="12" bestFit="1" customWidth="1"/>
    <col min="8" max="8" width="7" bestFit="1" customWidth="1"/>
    <col min="9" max="9" width="6" bestFit="1" customWidth="1"/>
    <col min="10" max="11" width="12" bestFit="1" customWidth="1"/>
    <col min="12" max="12" width="19.140625" bestFit="1" customWidth="1"/>
    <col min="13" max="13" width="7" bestFit="1" customWidth="1"/>
    <col min="14" max="14" width="12" bestFit="1" customWidth="1"/>
    <col min="15" max="15" width="8" bestFit="1" customWidth="1"/>
    <col min="16" max="16" width="6" bestFit="1" customWidth="1"/>
    <col min="17" max="17" width="12" bestFit="1" customWidth="1"/>
    <col min="18" max="18" width="7" bestFit="1" customWidth="1"/>
    <col min="19" max="19" width="6" bestFit="1" customWidth="1"/>
    <col min="20" max="21" width="12" bestFit="1" customWidth="1"/>
    <col min="22" max="22" width="36" bestFit="1" customWidth="1"/>
    <col min="23" max="23" width="24.140625" bestFit="1" customWidth="1"/>
  </cols>
  <sheetData>
    <row r="3" spans="1:4" x14ac:dyDescent="0.25">
      <c r="A3" s="6"/>
      <c r="B3" s="2" t="s">
        <v>1233</v>
      </c>
      <c r="C3" t="s">
        <v>1236</v>
      </c>
      <c r="D3" t="s">
        <v>1237</v>
      </c>
    </row>
    <row r="4" spans="1:4" x14ac:dyDescent="0.25">
      <c r="A4" s="6"/>
      <c r="B4" s="3" t="s">
        <v>100</v>
      </c>
      <c r="C4" s="5">
        <v>84.301428571428531</v>
      </c>
      <c r="D4" s="4">
        <v>21</v>
      </c>
    </row>
    <row r="5" spans="1:4" x14ac:dyDescent="0.25">
      <c r="A5" s="6"/>
      <c r="B5" s="3" t="s">
        <v>39</v>
      </c>
      <c r="C5" s="5">
        <v>83.877368421052623</v>
      </c>
      <c r="D5" s="4">
        <v>19</v>
      </c>
    </row>
    <row r="6" spans="1:4" x14ac:dyDescent="0.25">
      <c r="A6" s="6"/>
      <c r="B6" s="3" t="s">
        <v>554</v>
      </c>
      <c r="C6" s="5">
        <v>83.282307692307683</v>
      </c>
      <c r="D6" s="4">
        <v>13</v>
      </c>
    </row>
    <row r="7" spans="1:4" x14ac:dyDescent="0.25">
      <c r="A7" s="6"/>
      <c r="B7" s="3" t="s">
        <v>258</v>
      </c>
      <c r="C7" s="5">
        <v>81.88300000000001</v>
      </c>
      <c r="D7" s="4">
        <v>10</v>
      </c>
    </row>
    <row r="8" spans="1:4" x14ac:dyDescent="0.25">
      <c r="A8" s="6"/>
      <c r="B8" s="3" t="s">
        <v>82</v>
      </c>
      <c r="C8" s="5">
        <v>83.740000000000009</v>
      </c>
      <c r="D8" s="4">
        <v>8</v>
      </c>
    </row>
    <row r="9" spans="1:4" x14ac:dyDescent="0.25">
      <c r="A9" s="6"/>
      <c r="B9" s="3" t="s">
        <v>519</v>
      </c>
      <c r="C9" s="5">
        <v>81.892857142857125</v>
      </c>
      <c r="D9" s="4">
        <v>7</v>
      </c>
    </row>
    <row r="10" spans="1:4" x14ac:dyDescent="0.25">
      <c r="A10" s="6"/>
      <c r="B10" s="3" t="s">
        <v>596</v>
      </c>
      <c r="C10" s="5">
        <v>81.532857142857111</v>
      </c>
      <c r="D10" s="4">
        <v>7</v>
      </c>
    </row>
    <row r="11" spans="1:4" x14ac:dyDescent="0.25">
      <c r="A11" s="6"/>
      <c r="B11" s="3" t="s">
        <v>441</v>
      </c>
      <c r="C11" s="5">
        <v>82.332499999999996</v>
      </c>
      <c r="D11" s="4">
        <v>4</v>
      </c>
    </row>
    <row r="12" spans="1:4" x14ac:dyDescent="0.25">
      <c r="A12" s="6"/>
      <c r="B12" s="3" t="s">
        <v>738</v>
      </c>
      <c r="C12" s="5">
        <v>82.710000000000008</v>
      </c>
      <c r="D12" s="4">
        <v>4</v>
      </c>
    </row>
    <row r="13" spans="1:4" x14ac:dyDescent="0.25">
      <c r="A13" s="6"/>
      <c r="B13" s="3" t="s">
        <v>474</v>
      </c>
      <c r="C13" s="5">
        <v>83.625</v>
      </c>
      <c r="D13" s="4">
        <v>2</v>
      </c>
    </row>
    <row r="29" spans="2:4" x14ac:dyDescent="0.25">
      <c r="B29" t="s">
        <v>1247</v>
      </c>
      <c r="C29" t="s">
        <v>1248</v>
      </c>
      <c r="D29" t="s">
        <v>1249</v>
      </c>
    </row>
    <row r="30" spans="2:4" x14ac:dyDescent="0.25">
      <c r="B30" s="5">
        <v>7.7210628019323702</v>
      </c>
      <c r="C30" s="5">
        <v>7.7447342995169128</v>
      </c>
      <c r="D30" s="5">
        <v>7.6440579710144938</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C9E0-A151-47D8-B79C-8E4ACEB1DB95}">
  <dimension ref="A5:I27"/>
  <sheetViews>
    <sheetView showGridLines="0" showRowColHeaders="0" topLeftCell="A2" workbookViewId="0">
      <selection activeCell="J41" sqref="J41"/>
    </sheetView>
  </sheetViews>
  <sheetFormatPr baseColWidth="10" defaultRowHeight="15" x14ac:dyDescent="0.25"/>
  <cols>
    <col min="2" max="2" width="20" bestFit="1" customWidth="1"/>
    <col min="3" max="3" width="16.42578125" customWidth="1"/>
    <col min="7" max="7" width="11.7109375" bestFit="1" customWidth="1"/>
  </cols>
  <sheetData>
    <row r="5" spans="1:9" x14ac:dyDescent="0.25">
      <c r="A5" s="7" t="s">
        <v>1238</v>
      </c>
      <c r="B5" s="7" t="s">
        <v>1239</v>
      </c>
      <c r="C5" s="7" t="s">
        <v>1240</v>
      </c>
      <c r="D5" s="7" t="s">
        <v>1235</v>
      </c>
      <c r="G5" s="24" t="s">
        <v>1243</v>
      </c>
      <c r="H5" s="25"/>
      <c r="I5" s="25"/>
    </row>
    <row r="6" spans="1:9" x14ac:dyDescent="0.25">
      <c r="A6" s="8">
        <v>1</v>
      </c>
      <c r="B6" s="8" t="str">
        <f>VLOOKUP('Tablas_Dinamicas '!B4,'Tablas_Dinamicas '!B3:D13,1,0)</f>
        <v>Guatemala</v>
      </c>
      <c r="C6" s="9">
        <f>'Tablas_Dinamicas '!C4</f>
        <v>84.301428571428531</v>
      </c>
      <c r="D6" s="10">
        <f>'Tablas_Dinamicas '!D4</f>
        <v>21</v>
      </c>
      <c r="G6" s="16" t="s">
        <v>1244</v>
      </c>
      <c r="H6" s="15" t="s">
        <v>1245</v>
      </c>
      <c r="I6" s="15" t="s">
        <v>1246</v>
      </c>
    </row>
    <row r="7" spans="1:9" x14ac:dyDescent="0.25">
      <c r="A7" s="8">
        <v>2</v>
      </c>
      <c r="B7" s="8" t="str">
        <f>VLOOKUP('Tablas_Dinamicas '!B5,'Tablas_Dinamicas '!B4:D14,1,0)</f>
        <v>Colombia</v>
      </c>
      <c r="C7" s="9">
        <f>'Tablas_Dinamicas '!C5</f>
        <v>83.877368421052623</v>
      </c>
      <c r="D7" s="10">
        <f>'Tablas_Dinamicas '!D5</f>
        <v>19</v>
      </c>
      <c r="G7" s="22">
        <f>GETPIVOTDATA("Promedio de Aroma",'Tablas_Dinamicas '!$B$29)</f>
        <v>7.7210628019323702</v>
      </c>
      <c r="H7" s="18">
        <f>GETPIVOTDATA("Promedio de Flavor",'Tablas_Dinamicas '!$B$29)</f>
        <v>7.7447342995169128</v>
      </c>
      <c r="I7" s="18">
        <f>GETPIVOTDATA("Promedio de Balance",'Tablas_Dinamicas '!$B$29)</f>
        <v>7.6440579710144938</v>
      </c>
    </row>
    <row r="8" spans="1:9" x14ac:dyDescent="0.25">
      <c r="A8" s="8">
        <v>3</v>
      </c>
      <c r="B8" s="8" t="str">
        <f>VLOOKUP('Tablas_Dinamicas '!B6,'Tablas_Dinamicas '!B5:D15,1,0)</f>
        <v>Honduras</v>
      </c>
      <c r="C8" s="9">
        <f>'Tablas_Dinamicas '!C6</f>
        <v>83.282307692307683</v>
      </c>
      <c r="D8" s="10">
        <f>'Tablas_Dinamicas '!D6</f>
        <v>13</v>
      </c>
    </row>
    <row r="9" spans="1:9" x14ac:dyDescent="0.25">
      <c r="A9" s="8">
        <v>4</v>
      </c>
      <c r="B9" s="8" t="str">
        <f>VLOOKUP('Tablas_Dinamicas '!B7,'Tablas_Dinamicas '!B6:D16,1,0)</f>
        <v>Brazil</v>
      </c>
      <c r="C9" s="9">
        <f>'Tablas_Dinamicas '!C7</f>
        <v>81.88300000000001</v>
      </c>
      <c r="D9" s="10">
        <f>'Tablas_Dinamicas '!D7</f>
        <v>10</v>
      </c>
    </row>
    <row r="10" spans="1:9" x14ac:dyDescent="0.25">
      <c r="A10" s="8">
        <v>5</v>
      </c>
      <c r="B10" s="8" t="str">
        <f>VLOOKUP('Tablas_Dinamicas '!B8,'Tablas_Dinamicas '!B7:D17,1,0)</f>
        <v>Costa Rica</v>
      </c>
      <c r="C10" s="9">
        <f>'Tablas_Dinamicas '!C8</f>
        <v>83.740000000000009</v>
      </c>
      <c r="D10" s="10">
        <f>'Tablas_Dinamicas '!D8</f>
        <v>8</v>
      </c>
    </row>
    <row r="11" spans="1:9" x14ac:dyDescent="0.25">
      <c r="A11" s="8">
        <v>6</v>
      </c>
      <c r="B11" s="8" t="str">
        <f>VLOOKUP('Tablas_Dinamicas '!B9,'Tablas_Dinamicas '!B8:D18,1,0)</f>
        <v>Nicaragua</v>
      </c>
      <c r="C11" s="9">
        <f>'Tablas_Dinamicas '!C9</f>
        <v>81.892857142857125</v>
      </c>
      <c r="D11" s="10">
        <f>'Tablas_Dinamicas '!D9</f>
        <v>7</v>
      </c>
    </row>
    <row r="12" spans="1:9" x14ac:dyDescent="0.25">
      <c r="A12" s="8">
        <v>7</v>
      </c>
      <c r="B12" s="8" t="str">
        <f>VLOOKUP('Tablas_Dinamicas '!B10,'Tablas_Dinamicas '!B9:D19,1,0)</f>
        <v>El Salvador</v>
      </c>
      <c r="C12" s="9">
        <f>'Tablas_Dinamicas '!C10</f>
        <v>81.532857142857111</v>
      </c>
      <c r="D12" s="10">
        <f>'Tablas_Dinamicas '!D10</f>
        <v>7</v>
      </c>
      <c r="F12" s="23"/>
      <c r="G12" s="23"/>
      <c r="H12" s="23"/>
      <c r="I12" s="23"/>
    </row>
    <row r="13" spans="1:9" x14ac:dyDescent="0.25">
      <c r="A13" s="8">
        <v>8</v>
      </c>
      <c r="B13" s="8" t="str">
        <f>VLOOKUP('Tablas_Dinamicas '!B11,'Tablas_Dinamicas '!B10:D20,1,0)</f>
        <v>Peru</v>
      </c>
      <c r="C13" s="9">
        <f>'Tablas_Dinamicas '!C11</f>
        <v>82.332499999999996</v>
      </c>
      <c r="D13" s="10">
        <f>'Tablas_Dinamicas '!D11</f>
        <v>4</v>
      </c>
      <c r="F13" s="23"/>
      <c r="G13" s="23"/>
      <c r="H13" s="23"/>
      <c r="I13" s="23"/>
    </row>
    <row r="14" spans="1:9" x14ac:dyDescent="0.25">
      <c r="A14" s="8">
        <v>9</v>
      </c>
      <c r="B14" s="8" t="str">
        <f>VLOOKUP('Tablas_Dinamicas '!B12,'Tablas_Dinamicas '!B11:D21,1,0)</f>
        <v>Mexico</v>
      </c>
      <c r="C14" s="9">
        <f>'Tablas_Dinamicas '!C12</f>
        <v>82.710000000000008</v>
      </c>
      <c r="D14" s="10">
        <f>'Tablas_Dinamicas '!D12</f>
        <v>4</v>
      </c>
      <c r="F14" s="23"/>
      <c r="G14" s="23"/>
      <c r="H14" s="23"/>
      <c r="I14" s="23"/>
    </row>
    <row r="15" spans="1:9" x14ac:dyDescent="0.25">
      <c r="A15" s="8">
        <v>10</v>
      </c>
      <c r="B15" s="8" t="str">
        <f>VLOOKUP('Tablas_Dinamicas '!B13,'Tablas_Dinamicas '!B12:D22,1,0)</f>
        <v>Panama</v>
      </c>
      <c r="C15" s="9">
        <f>'Tablas_Dinamicas '!C13</f>
        <v>83.625</v>
      </c>
      <c r="D15" s="10">
        <f>'Tablas_Dinamicas '!D13</f>
        <v>2</v>
      </c>
      <c r="F15" s="23"/>
      <c r="G15" s="23"/>
      <c r="H15" s="23"/>
      <c r="I15" s="23"/>
    </row>
    <row r="16" spans="1:9" x14ac:dyDescent="0.25">
      <c r="F16" s="23"/>
      <c r="G16" s="23"/>
      <c r="H16" s="23"/>
      <c r="I16" s="23"/>
    </row>
    <row r="17" spans="1:9" x14ac:dyDescent="0.25">
      <c r="F17" s="23"/>
      <c r="G17" s="23"/>
      <c r="H17" s="23"/>
      <c r="I17" s="23"/>
    </row>
    <row r="18" spans="1:9" x14ac:dyDescent="0.25">
      <c r="A18" s="24" t="s">
        <v>1241</v>
      </c>
      <c r="B18" s="25"/>
      <c r="C18" s="25"/>
      <c r="D18" s="26"/>
      <c r="F18" s="23"/>
      <c r="G18" s="23"/>
      <c r="H18" s="23"/>
      <c r="I18" s="23"/>
    </row>
    <row r="19" spans="1:9" x14ac:dyDescent="0.25">
      <c r="A19" s="16" t="str">
        <f>Tabla3[[#Headers],[Ranking]]</f>
        <v>Ranking</v>
      </c>
      <c r="B19" s="15" t="str">
        <f>Tabla3[[#Headers],[Pais]]</f>
        <v>Pais</v>
      </c>
      <c r="C19" s="15" t="str">
        <f>Tabla3[[#Headers],[Promedio_Cup]]</f>
        <v>Promedio_Cup</v>
      </c>
      <c r="D19" s="17" t="str">
        <f>Tabla3[[#Headers],[Muestras]]</f>
        <v>Muestras</v>
      </c>
      <c r="F19" s="23"/>
      <c r="G19" s="23"/>
      <c r="H19" s="23"/>
      <c r="I19" s="23"/>
    </row>
    <row r="20" spans="1:9" x14ac:dyDescent="0.25">
      <c r="A20" s="11">
        <f>A6</f>
        <v>1</v>
      </c>
      <c r="B20" s="12" t="str">
        <f>VLOOKUP(A20,Tabla3[],2,0)</f>
        <v>Guatemala</v>
      </c>
      <c r="C20" s="18">
        <f>VLOOKUP($A$20,Tabla3[],3,0)</f>
        <v>84.301428571428531</v>
      </c>
      <c r="D20" s="19">
        <f>VLOOKUP($A$20,Tabla3[],4,0)</f>
        <v>21</v>
      </c>
      <c r="F20" s="23"/>
      <c r="G20" s="23"/>
      <c r="H20" s="23"/>
      <c r="I20" s="23"/>
    </row>
    <row r="21" spans="1:9" x14ac:dyDescent="0.25">
      <c r="A21" s="13">
        <f t="shared" ref="A21:D22" si="0">A7</f>
        <v>2</v>
      </c>
      <c r="B21" s="14" t="str">
        <f>VLOOKUP($A$21,Tabla3[],2,0)</f>
        <v>Colombia</v>
      </c>
      <c r="C21" s="20">
        <f>VLOOKUP($A$21,Tabla3[],3,0)</f>
        <v>83.877368421052623</v>
      </c>
      <c r="D21" s="21">
        <f>VLOOKUP($A$21,Tabla3[],4,0)</f>
        <v>19</v>
      </c>
      <c r="F21" s="23"/>
      <c r="G21" s="23"/>
      <c r="H21" s="23"/>
      <c r="I21" s="23"/>
    </row>
    <row r="22" spans="1:9" x14ac:dyDescent="0.25">
      <c r="A22" s="11">
        <f t="shared" si="0"/>
        <v>3</v>
      </c>
      <c r="B22" s="12" t="str">
        <f>VLOOKUP($A$22,Tabla3[],2,0)</f>
        <v>Honduras</v>
      </c>
      <c r="C22" s="18">
        <f>VLOOKUP($A$22,Tabla3[],3,0)</f>
        <v>83.282307692307683</v>
      </c>
      <c r="D22" s="19">
        <f>VLOOKUP($A$22,Tabla3[],4,0)</f>
        <v>13</v>
      </c>
      <c r="F22" s="23"/>
      <c r="G22" s="23"/>
      <c r="H22" s="23"/>
      <c r="I22" s="23"/>
    </row>
    <row r="23" spans="1:9" x14ac:dyDescent="0.25">
      <c r="F23" s="23"/>
      <c r="G23" s="23"/>
      <c r="H23" s="23"/>
      <c r="I23" s="23"/>
    </row>
    <row r="24" spans="1:9" x14ac:dyDescent="0.25">
      <c r="F24" s="23"/>
      <c r="G24" s="23"/>
      <c r="H24" s="23"/>
      <c r="I24" s="23"/>
    </row>
    <row r="25" spans="1:9" x14ac:dyDescent="0.25">
      <c r="A25" s="24" t="s">
        <v>1242</v>
      </c>
      <c r="B25" s="25"/>
      <c r="C25" s="25"/>
      <c r="D25" s="26"/>
      <c r="F25" s="23"/>
      <c r="G25" s="23"/>
      <c r="H25" s="23"/>
      <c r="I25" s="23"/>
    </row>
    <row r="26" spans="1:9" x14ac:dyDescent="0.25">
      <c r="A26" s="16" t="str">
        <f>Tabla3[[#Headers],[Ranking]]</f>
        <v>Ranking</v>
      </c>
      <c r="B26" s="15" t="str">
        <f>Tabla3[[#Headers],[Pais]]</f>
        <v>Pais</v>
      </c>
      <c r="C26" s="15" t="str">
        <f>Tabla3[[#Headers],[Promedio_Cup]]</f>
        <v>Promedio_Cup</v>
      </c>
      <c r="D26" s="17" t="str">
        <f>Tabla3[[#Headers],[Muestras]]</f>
        <v>Muestras</v>
      </c>
      <c r="F26" s="23"/>
      <c r="G26" s="23"/>
      <c r="H26" s="23"/>
      <c r="I26" s="23"/>
    </row>
    <row r="27" spans="1:9" x14ac:dyDescent="0.25">
      <c r="A27" s="11">
        <f>A15</f>
        <v>10</v>
      </c>
      <c r="B27" s="12" t="str">
        <f>VLOOKUP($A$27,Tabla3[],2,0)</f>
        <v>Panama</v>
      </c>
      <c r="C27" s="18">
        <f>VLOOKUP($A$27,Tabla3[],3,0)</f>
        <v>83.625</v>
      </c>
      <c r="D27" s="19">
        <f>VLOOKUP($A$27,Tabla3[],4,0)</f>
        <v>2</v>
      </c>
      <c r="F27" s="23"/>
      <c r="G27" s="23"/>
      <c r="H27" s="23"/>
      <c r="I27" s="23"/>
    </row>
  </sheetData>
  <dataConsolidate/>
  <mergeCells count="3">
    <mergeCell ref="A18:D18"/>
    <mergeCell ref="A25:D25"/>
    <mergeCell ref="G5:I5"/>
  </mergeCells>
  <conditionalFormatting sqref="A20:D22">
    <cfRule type="dataBar" priority="1">
      <dataBar>
        <cfvo type="min"/>
        <cfvo type="max"/>
        <color rgb="FFFFB628"/>
      </dataBar>
      <extLst>
        <ext xmlns:x14="http://schemas.microsoft.com/office/spreadsheetml/2009/9/main" uri="{B025F937-C7B1-47D3-B67F-A62EFF666E3E}">
          <x14:id>{2A69F900-9983-4D80-AAB2-5D04E9D37F22}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A69F900-9983-4D80-AAB2-5D04E9D37F22}">
            <x14:dataBar minLength="0" maxLength="100" gradient="0">
              <x14:cfvo type="autoMin"/>
              <x14:cfvo type="autoMax"/>
              <x14:negativeFillColor rgb="FFFF0000"/>
              <x14:axisColor rgb="FF000000"/>
            </x14:dataBar>
          </x14:cfRule>
          <xm:sqref>A20:D22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AE68CE-73D3-46A5-B3ED-528F293B8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df_arabica_clean</vt:lpstr>
      <vt:lpstr>Tablas_Dinamicas </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Guadarrama</dc:creator>
  <cp:lastModifiedBy>Javier Guadarrama</cp:lastModifiedBy>
  <dcterms:created xsi:type="dcterms:W3CDTF">2026-06-10T12:20:27Z</dcterms:created>
  <dcterms:modified xsi:type="dcterms:W3CDTF">2026-06-23T21:20:35Z</dcterms:modified>
</cp:coreProperties>
</file>